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правочник" sheetId="20" r:id="rId1"/>
    <sheet name="Антропометрия" sheetId="27" r:id="rId2"/>
    <sheet name="КБЖУ" sheetId="13" r:id="rId3"/>
    <sheet name="Продукты" sheetId="1" r:id="rId4"/>
    <sheet name="Составы" sheetId="3" r:id="rId5"/>
    <sheet name="Рассчеты" sheetId="2" r:id="rId6"/>
    <sheet name="Рецепты" sheetId="11" r:id="rId7"/>
    <sheet name="ПН" sheetId="4" r:id="rId8"/>
    <sheet name="ВТ" sheetId="21" r:id="rId9"/>
    <sheet name="СР" sheetId="22" r:id="rId10"/>
    <sheet name="ЧТ" sheetId="23" r:id="rId11"/>
    <sheet name="ПТ" sheetId="24" r:id="rId12"/>
    <sheet name="СБ" sheetId="25" r:id="rId13"/>
    <sheet name="ВС" sheetId="26" r:id="rId14"/>
  </sheets>
  <definedNames>
    <definedName name="БелкиАктивность">"СМЕЩ(Справочник!$H$2;0;0;СЧЁТЕСЛИ(Справочник!$H:$H;""*"")-1;1)"</definedName>
    <definedName name="Пол">OFFSET(Справочник!$C$2,0,0,COUNTIF(Справочник!$C:$C,"*")-1,1)</definedName>
    <definedName name="Продукт">OFFSET(Продукты!$A$2,0,0,COUNTIF(Продукты!$A:$A,"*")-1,1)</definedName>
    <definedName name="Рецепты">OFFSET(Рецепты!$A$2,0,0,COUNTIF(Рецепты!$A:$A,"*")-1,1)</definedName>
    <definedName name="СписокДат">OFFSET(Антропометрия!$A$2, 0, 0, COUNTA(Антропометрия!$A:$A)-1, 1)</definedName>
    <definedName name="ТДЕАктивность">OFFSET(Справочник!$E$2,0,0,COUNTIF(Справочник!$E:$E,"*")-1,1)</definedName>
    <definedName name="ТипПитания">OFFSET(Справочник!$A$2,0,0,COUNTIF(Справочник!$A:$A,"*")-1,1)</definedName>
    <definedName name="Цель">OFFSET(Справочник!$P$2,0,0,COUNTIF(Справочник!$P:$P,"*")-1,1)</definedName>
  </definedNames>
  <calcPr calcId="152511"/>
</workbook>
</file>

<file path=xl/calcChain.xml><?xml version="1.0" encoding="utf-8"?>
<calcChain xmlns="http://schemas.openxmlformats.org/spreadsheetml/2006/main">
  <c r="S2" i="27" l="1"/>
  <c r="AE2" i="27"/>
  <c r="R2" i="27" l="1"/>
  <c r="V2" i="27" l="1"/>
  <c r="W2" i="27" s="1"/>
  <c r="T2" i="27"/>
  <c r="U2" i="27" s="1"/>
  <c r="X2" i="27"/>
  <c r="Y2" i="27" s="1"/>
  <c r="C3" i="13"/>
  <c r="C2" i="13"/>
  <c r="B3" i="13"/>
  <c r="B2" i="13"/>
  <c r="E3" i="13"/>
  <c r="E2" i="13"/>
  <c r="D3" i="13"/>
  <c r="D2" i="13"/>
  <c r="AB2" i="27"/>
  <c r="AC2" i="27" s="1"/>
  <c r="Z2" i="27"/>
  <c r="AA2" i="27" s="1"/>
  <c r="J2" i="13" l="1"/>
  <c r="J3" i="13"/>
  <c r="I2" i="13"/>
  <c r="I3" i="13"/>
  <c r="H2" i="13"/>
  <c r="H3" i="13"/>
  <c r="L2" i="26" l="1"/>
  <c r="K2" i="26"/>
  <c r="J2" i="26"/>
  <c r="I2" i="26"/>
  <c r="H2" i="26"/>
  <c r="G2" i="26"/>
  <c r="F2" i="26"/>
  <c r="L2" i="25"/>
  <c r="K2" i="25"/>
  <c r="J2" i="25"/>
  <c r="I2" i="25"/>
  <c r="H2" i="25"/>
  <c r="G2" i="25"/>
  <c r="F2" i="25"/>
  <c r="L2" i="24"/>
  <c r="K2" i="24"/>
  <c r="J2" i="24"/>
  <c r="I2" i="24"/>
  <c r="H2" i="24"/>
  <c r="G2" i="24"/>
  <c r="F2" i="24"/>
  <c r="L2" i="23"/>
  <c r="K2" i="23"/>
  <c r="J2" i="23"/>
  <c r="I2" i="23"/>
  <c r="H2" i="23"/>
  <c r="G2" i="23"/>
  <c r="F2" i="23"/>
  <c r="L2" i="22"/>
  <c r="K2" i="22"/>
  <c r="J2" i="22"/>
  <c r="I2" i="22"/>
  <c r="H2" i="22"/>
  <c r="G2" i="22"/>
  <c r="F2" i="22"/>
  <c r="L2" i="21"/>
  <c r="K2" i="21"/>
  <c r="J2" i="21"/>
  <c r="I2" i="21"/>
  <c r="H2" i="21"/>
  <c r="G2" i="21"/>
  <c r="F2" i="21"/>
  <c r="L3" i="13"/>
  <c r="L2" i="13"/>
  <c r="K3" i="13"/>
  <c r="K2" i="13"/>
  <c r="N2" i="13" l="1"/>
  <c r="N3" i="13"/>
  <c r="M2" i="13"/>
  <c r="M3" i="13"/>
  <c r="O2" i="13" l="1"/>
  <c r="O3" i="13"/>
  <c r="P3" i="13" l="1"/>
  <c r="Q3" i="13"/>
  <c r="R3" i="13"/>
  <c r="S3" i="13"/>
  <c r="T3" i="13"/>
  <c r="R2" i="13"/>
  <c r="Q2" i="13"/>
  <c r="T2" i="13"/>
  <c r="S2" i="13"/>
  <c r="P2" i="13"/>
  <c r="W3" i="13" l="1"/>
  <c r="X3" i="13"/>
  <c r="W2" i="13"/>
  <c r="X2" i="13"/>
  <c r="L2" i="4"/>
  <c r="K2" i="4"/>
  <c r="J2" i="4"/>
  <c r="I2" i="4"/>
  <c r="H2" i="4"/>
  <c r="G2" i="4"/>
  <c r="F2" i="4"/>
  <c r="D2" i="2"/>
  <c r="V2" i="13" l="1"/>
  <c r="V3" i="13"/>
  <c r="U2" i="13"/>
  <c r="U3" i="13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<sst xmlns="http://schemas.openxmlformats.org/spreadsheetml/2006/main" count="254" uniqueCount="124">
  <si>
    <t>Белки</t>
  </si>
  <si>
    <t>Продукты, на 100 гр</t>
  </si>
  <si>
    <t>Жиры</t>
  </si>
  <si>
    <t>Углеводы</t>
  </si>
  <si>
    <t>Калории, ккл</t>
  </si>
  <si>
    <t>Клетчатка</t>
  </si>
  <si>
    <t>Продукт</t>
  </si>
  <si>
    <t>Пищевые волокна</t>
  </si>
  <si>
    <t>Вес</t>
  </si>
  <si>
    <t>Пример</t>
  </si>
  <si>
    <t>Количество</t>
  </si>
  <si>
    <t>Вес, гр</t>
  </si>
  <si>
    <t>Исх. Вес.</t>
  </si>
  <si>
    <t>Состав</t>
  </si>
  <si>
    <t>Тип</t>
  </si>
  <si>
    <t>Завтрак</t>
  </si>
  <si>
    <t>2-й завтрак</t>
  </si>
  <si>
    <t>Обед</t>
  </si>
  <si>
    <t>Полдник</t>
  </si>
  <si>
    <t>Ужин</t>
  </si>
  <si>
    <t>Тип питания</t>
  </si>
  <si>
    <t>Время приёма</t>
  </si>
  <si>
    <t>Название</t>
  </si>
  <si>
    <t>Рецепт</t>
  </si>
  <si>
    <t>Калории</t>
  </si>
  <si>
    <t>Рост</t>
  </si>
  <si>
    <t>Возраст</t>
  </si>
  <si>
    <t>Пол</t>
  </si>
  <si>
    <t>Активность</t>
  </si>
  <si>
    <t>Цель</t>
  </si>
  <si>
    <t>Мужской</t>
  </si>
  <si>
    <t>TDEE</t>
  </si>
  <si>
    <t>BMR</t>
  </si>
  <si>
    <t>Белки низ</t>
  </si>
  <si>
    <t>Белки верх</t>
  </si>
  <si>
    <t>Жиры верх</t>
  </si>
  <si>
    <t>Жиры низ</t>
  </si>
  <si>
    <t>Углеводы верх</t>
  </si>
  <si>
    <t>Углеводы низ</t>
  </si>
  <si>
    <t>Коэф.Жир низ</t>
  </si>
  <si>
    <t>Коэф. Жир верх</t>
  </si>
  <si>
    <t>Коэф белки низ</t>
  </si>
  <si>
    <t>Коэф белки верх</t>
  </si>
  <si>
    <t>Кэф дифицита низ</t>
  </si>
  <si>
    <t>Коэф дифицита верх</t>
  </si>
  <si>
    <t>Исх. Вес. гр</t>
  </si>
  <si>
    <t>Женский</t>
  </si>
  <si>
    <t>Минимальная (сидячая работа, нет спорта)</t>
  </si>
  <si>
    <t>Лёгкая (1–2 тренировки в неделю)</t>
  </si>
  <si>
    <t>Умеренная (3–5 тренировок, активная работа)</t>
  </si>
  <si>
    <t>Высокая (6–7 тренировок, физическая работа)</t>
  </si>
  <si>
    <t>Экстремальная (тяжёлый труд + 2 тренировки/день)</t>
  </si>
  <si>
    <t>Уровень активности</t>
  </si>
  <si>
    <t>Коэф. TDEE</t>
  </si>
  <si>
    <t>Белки мин</t>
  </si>
  <si>
    <t>Белки макс</t>
  </si>
  <si>
    <t>Жиры мин</t>
  </si>
  <si>
    <t>Жиры макс</t>
  </si>
  <si>
    <t>Дефицит мин (ккал)</t>
  </si>
  <si>
    <t>Дефицит макс (ккал)</t>
  </si>
  <si>
    <t>Похудение (мягкое)</t>
  </si>
  <si>
    <t>Похудение (агрессивное)</t>
  </si>
  <si>
    <t>Поддержание</t>
  </si>
  <si>
    <t>Набор массы</t>
  </si>
  <si>
    <t>TDEE коэфф.</t>
  </si>
  <si>
    <t>Минимальная+ (сидячая работа + редкие прогулки)</t>
  </si>
  <si>
    <t>Калории мин</t>
  </si>
  <si>
    <t>Калории макс</t>
  </si>
  <si>
    <t>Дата</t>
  </si>
  <si>
    <t>Вес, кг</t>
  </si>
  <si>
    <t>Рост, см</t>
  </si>
  <si>
    <t>Возраст, лет</t>
  </si>
  <si>
    <t>Шея, см</t>
  </si>
  <si>
    <t>Грудь, см</t>
  </si>
  <si>
    <t>Плечи, см</t>
  </si>
  <si>
    <t>Рука правая, см</t>
  </si>
  <si>
    <t>Рука левая, см</t>
  </si>
  <si>
    <t>Талия, см</t>
  </si>
  <si>
    <t>Бедра, см</t>
  </si>
  <si>
    <t>Бедро левое, см</t>
  </si>
  <si>
    <t>Бедро правое, см</t>
  </si>
  <si>
    <t>Икра правая, см</t>
  </si>
  <si>
    <t>Икра левая, см</t>
  </si>
  <si>
    <t>Мышечная масса, кг</t>
  </si>
  <si>
    <t>Висцеральный жир (уровень)</t>
  </si>
  <si>
    <t>Костная масса, кг</t>
  </si>
  <si>
    <t>ИМТ (расчёт)</t>
  </si>
  <si>
    <t>BMR (расчёт)</t>
  </si>
  <si>
    <t>% жира</t>
  </si>
  <si>
    <t>% жира, Формула Navy</t>
  </si>
  <si>
    <t>% жира (весы)</t>
  </si>
  <si>
    <t>BMR (с весов)</t>
  </si>
  <si>
    <t>Уровень</t>
  </si>
  <si>
    <t>Диапазон, %, мин</t>
  </si>
  <si>
    <t>Диапазон, %, макс</t>
  </si>
  <si>
    <t>Недостаток</t>
  </si>
  <si>
    <t>Норма (здоровый)</t>
  </si>
  <si>
    <t>Повышенный</t>
  </si>
  <si>
    <t>Высокий</t>
  </si>
  <si>
    <t>Диапазон, кг, мин</t>
  </si>
  <si>
    <t>Диапазон, кг, макс</t>
  </si>
  <si>
    <t>Дефицит</t>
  </si>
  <si>
    <t>Стандарт</t>
  </si>
  <si>
    <t>Отличный</t>
  </si>
  <si>
    <t>Диапазон, мин</t>
  </si>
  <si>
    <t>Диапазон, макс</t>
  </si>
  <si>
    <t>Недостаточно</t>
  </si>
  <si>
    <t>ИМТ, мин</t>
  </si>
  <si>
    <t>ИМТ, макс</t>
  </si>
  <si>
    <t>Категория</t>
  </si>
  <si>
    <t>Норма</t>
  </si>
  <si>
    <t>Избыток</t>
  </si>
  <si>
    <t>BMR, ккал</t>
  </si>
  <si>
    <t>BMR, ккал, мин</t>
  </si>
  <si>
    <t>BMR, ккал, макс</t>
  </si>
  <si>
    <t>Низкий</t>
  </si>
  <si>
    <t>Уровень % жира</t>
  </si>
  <si>
    <t>Уровень мышечной массы</t>
  </si>
  <si>
    <t>Висцеральный жир (рассчет)</t>
  </si>
  <si>
    <t>Костная масса, кг (рассчет)</t>
  </si>
  <si>
    <t>Костная масса, кг, уровень</t>
  </si>
  <si>
    <t>ИМТ (уровень)</t>
  </si>
  <si>
    <t>BMR (уровень)</t>
  </si>
  <si>
    <t>BMR (с весов, уровень)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</si>
</sst>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h:mm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Times New Roman"/>
    </font>
    <font>
      <sz val="12"/>
      <color theme="1"/>
      <name val="Times New Roman"/>
    </font>
    <font>
      <sz val="12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 shrinkToFi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 shrinkToFit="1"/>
    </xf>
    <xf numFmtId="2" fontId="5" fillId="0" borderId="0" xfId="0" applyNumberFormat="1" applyFont="1" applyAlignment="1">
      <alignment horizontal="center" vertical="center" wrapText="1" shrinkToFit="1"/>
    </xf>
    <xf numFmtId="0" fontId="5" fillId="0" borderId="0" xfId="0" applyFont="1" applyAlignment="1">
      <alignment horizontal="center" wrapText="1" shrinkToFit="1"/>
    </xf>
    <xf numFmtId="0" fontId="4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0" xfId="0" applyNumberFormat="1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0" fontId="7" fillId="0" borderId="1" xfId="0" applyFont="1" applyBorder="1"/>
    <xf numFmtId="0" fontId="7" fillId="0" borderId="2" xfId="0" applyFont="1" applyBorder="1"/>
    <xf numFmtId="0" fontId="6" fillId="0" borderId="5" xfId="0" applyFont="1" applyBorder="1"/>
    <xf numFmtId="0" fontId="7" fillId="0" borderId="3" xfId="0" applyFont="1" applyBorder="1"/>
    <xf numFmtId="166" fontId="1" fillId="0" borderId="6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" fontId="6" fillId="0" borderId="0" xfId="0" applyNumberFormat="1" applyFont="1"/>
    <xf numFmtId="1" fontId="1" fillId="0" borderId="6" xfId="0" applyNumberFormat="1" applyFont="1" applyBorder="1"/>
    <xf numFmtId="0" fontId="1" fillId="0" borderId="5" xfId="0" applyFont="1" applyBorder="1" applyAlignment="1">
      <alignment horizontal="left" vertical="center" wrapText="1" shrinkToFit="1"/>
    </xf>
    <xf numFmtId="0" fontId="2" fillId="0" borderId="5" xfId="0" applyFont="1" applyBorder="1"/>
    <xf numFmtId="164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 shrinkToFit="1"/>
    </xf>
    <xf numFmtId="164" fontId="1" fillId="0" borderId="0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shrinkToFit="1"/>
    </xf>
    <xf numFmtId="164" fontId="1" fillId="0" borderId="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8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3" xfId="0" applyFont="1" applyBorder="1"/>
  </cellXfs>
  <cellStyles count="1">
    <cellStyle name="Обычный" xfId="0" builtinId="0"/>
  </cellStyles>
  <dxfs count="2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alignment horizontal="center" vertical="bottom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alignment horizontal="center" vertical="center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2" name="Антропометрия" displayName="Антропометрия" ref="A1:AE2" totalsRowShown="0" headerRowDxfId="285" dataDxfId="284">
  <autoFilter ref="A1:AE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name="Дата" dataDxfId="283"/>
    <tableColumn id="2" name="Вес, кг" dataDxfId="282"/>
    <tableColumn id="3" name="Рост, см" dataDxfId="281"/>
    <tableColumn id="4" name="Возраст, лет" dataDxfId="280"/>
    <tableColumn id="5" name="Пол" dataDxfId="279"/>
    <tableColumn id="6" name="Шея, см" dataDxfId="278"/>
    <tableColumn id="7" name="Грудь, см" dataDxfId="277"/>
    <tableColumn id="8" name="Плечи, см" dataDxfId="276"/>
    <tableColumn id="9" name="Рука правая, см" dataDxfId="275"/>
    <tableColumn id="10" name="Рука левая, см" dataDxfId="274"/>
    <tableColumn id="11" name="Талия, см" dataDxfId="273"/>
    <tableColumn id="12" name="Бедра, см" dataDxfId="272"/>
    <tableColumn id="13" name="Бедро левое, см" dataDxfId="271"/>
    <tableColumn id="14" name="Бедро правое, см" dataDxfId="270"/>
    <tableColumn id="15" name="Икра правая, см" dataDxfId="269"/>
    <tableColumn id="16" name="Икра левая, см" dataDxfId="268"/>
    <tableColumn id="23" name="% жира (весы)"/>
    <tableColumn id="17" name="% жира, Формула Navy" dataDxfId="267">
      <calculatedColumnFormula>MIN(MAX(IF(Антропометрия[Пол]=Справочник!$C$2,86.01*LOG10(Антропометрия[Талия, см] - Антропометрия[Шея, см]) - 70.041*LOG10(Антропометрия[Рост, см]) + 36.76,163.205*LOG10(Антропометрия[Талия, см] + Антропометрия[Бедра, см] - Антропометрия[Шея, см]) - 97.684*LOG10(Антропометрия[Рост, см]) - 78.387), 5), 50)</calculatedColumnFormula>
    </tableColumn>
    <tableColumn id="25" name="Уровень % жира" dataDxfId="266">
      <calculatedColumnFormula>IFERROR(VLOOKUP(IF(Антропометрия[% жира (весы)]&lt;&gt;"",Антропометрия[% жира (весы)],Антропометрия[% жира, Формула Navy]), Справочник!$T$3:$V$6,3,TRUE), "Вне диапазона")</calculatedColumnFormula>
    </tableColumn>
    <tableColumn id="18" name="Мышечная масса, кг" dataDxfId="265">
      <calculatedColumnFormula>Антропометрия[Вес, кг]*(100-Антропометрия[% жира, Формула Navy])/100</calculatedColumnFormula>
    </tableColumn>
    <tableColumn id="26" name="Уровень мышечной массы" dataDxfId="264">
      <calculatedColumnFormula>VLOOKUP(Антропометрия[Мышечная масса, кг], Справочник!$X$3:$Z$5, 3, TRUE)</calculatedColumnFormula>
    </tableColumn>
    <tableColumn id="19" name="Висцеральный жир (рассчет)" dataDxfId="263">
      <calculatedColumnFormula>MIN(20, MAX(0, ( Антропометрия[Талия, см] / Антропометрия[Рост, см] - 0.4 ) * 50 ))</calculatedColumnFormula>
    </tableColumn>
    <tableColumn id="27" name="Висцеральный жир (уровень)" dataDxfId="262">
      <calculatedColumnFormula>VLOOKUP(Антропометрия[Висцеральный жир (рассчет)], Справочник!$AB$3:$AD$5, 3, TRUE)</calculatedColumnFormula>
    </tableColumn>
    <tableColumn id="20" name="Костная масса, кг (рассчет)" dataDxfId="261">
      <calculatedColumnFormula>IF(Антропометрия[Пол]=Справочник!$C$2, Антропометрия[Вес, кг] * 0.04, Антропометрия[Вес, кг] * 0.03)</calculatedColumnFormula>
    </tableColumn>
    <tableColumn id="28" name="Костная масса, кг, уровень" dataDxfId="260">
      <calculatedColumnFormula>VLOOKUP(Антропометрия[Костная масса, кг (рассчет)], Справочник!$AF$3:$AH$5, 3, TRUE)</calculatedColumnFormula>
    </tableColumn>
    <tableColumn id="21" name="ИМТ (расчёт)" dataDxfId="259">
      <calculatedColumnFormula>Антропометрия[[#This Row],[Вес, кг]]/((Антропометрия[[#This Row],[Рост, см]]/100)^2)</calculatedColumnFormula>
    </tableColumn>
    <tableColumn id="29" name="ИМТ (уровень)" dataDxfId="258">
      <calculatedColumnFormula>VLOOKUP(Антропометрия[ИМТ (расчёт)], Справочник!$AJ$3:$AL$5, 3, TRUE)</calculatedColumnFormula>
    </tableColumn>
    <tableColumn id="22" name="BMR (расчёт)" dataDxfId="257">
      <calculatedColumnFormula>10*Антропометрия[[#This Row],[Вес, кг]]+6.25*Антропометрия[[#This Row],[Рост, см]]-5*Антропометрия[[#This Row],[Возраст, лет]]+IF(Антропометрия[[#This Row],[Пол]]=Справочник!$C$2,5,-161)</calculatedColumnFormula>
    </tableColumn>
    <tableColumn id="30" name="BMR (уровень)" dataDxfId="256">
      <calculatedColumnFormula>VLOOKUP(Антропометрия[BMR (расчёт)], Справочник!$AN$3:$AP$5, 3, TRUE)</calculatedColumnFormula>
    </tableColumn>
    <tableColumn id="24" name="BMR (с весов)" dataDxfId="255"/>
    <tableColumn id="31" name="BMR (с весов, уровень)" dataDxfId="254">
      <calculatedColumnFormula>IF(Антропометрия[BMR (с весов)]&lt;&gt;"",VLOOKUP(Антропометрия[BMR (с весов)], Справочник!$AN$3:$AP$5, 3, TRUE),"")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A1:X3" totalsRowShown="0">
  <autoFilter ref="A1:X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0" name="Дата" dataDxfId="253"/>
    <tableColumn id="1" name="Вес" dataDxfId="252"/>
    <tableColumn id="2" name="Рост" dataDxfId="251"/>
    <tableColumn id="3" name="Возраст" dataDxfId="250"/>
    <tableColumn id="4" name="Пол" dataDxfId="249"/>
    <tableColumn id="5" name="Активность" dataDxfId="248"/>
    <tableColumn id="6" name="Цель" dataDxfId="247"/>
    <tableColumn id="17" name="TDEE коэфф." dataDxfId="246">
      <calculatedColumnFormula>VLOOKUP(Таблица4[[#This Row],[Активность]], Справочник!$E$2:$F$7, 2, 0)</calculatedColumnFormula>
    </tableColumn>
    <tableColumn id="23" name="Коэф белки низ" dataDxfId="245">
      <calculatedColumnFormula>VLOOKUP(Таблица4[[#This Row],[Активность]], Справочник!$H$2:$J$7, 2, 0)</calculatedColumnFormula>
    </tableColumn>
    <tableColumn id="22" name="Коэф белки верх" dataDxfId="244">
      <calculatedColumnFormula>VLOOKUP(Таблица4[[#This Row],[Активность]], Справочник!$H$2:$J$7, 3, 0)</calculatedColumnFormula>
    </tableColumn>
    <tableColumn id="19" name="Коэф.Жир низ" dataDxfId="243"/>
    <tableColumn id="18" name="Коэф. Жир верх" dataDxfId="242"/>
    <tableColumn id="25" name="Кэф дифицита низ" dataDxfId="241">
      <calculatedColumnFormula>VLOOKUP(Таблица4[[#This Row],[Цель]], Справочник!$P$2:$R$5, 2, 0)</calculatedColumnFormula>
    </tableColumn>
    <tableColumn id="24" name="Коэф дифицита верх" dataDxfId="240">
      <calculatedColumnFormula>VLOOKUP(Таблица4[[#This Row],[Цель]], Справочник!$P$2:$R$5, 3, 0)</calculatedColumnFormula>
    </tableColumn>
    <tableColumn id="7" name="BMR" dataDxfId="239">
      <calculatedColumnFormula>10*Таблица4[Вес]+6.25*Таблица4[Рост]-5*Таблица4[Возраст]+IF(Таблица4[[#This Row],[Пол]]=Справочник!$C$2,5,-161)</calculatedColumnFormula>
    </tableColumn>
    <tableColumn id="8" name="TDEE" dataDxfId="238">
      <calculatedColumnFormula>Таблица4[BMR]*Таблица4[TDEE коэфф.]</calculatedColumnFormula>
    </tableColumn>
    <tableColumn id="11" name="Белки низ" dataDxfId="237">
      <calculatedColumnFormula>Таблица4[Вес]*Таблица4[Коэф белки низ]</calculatedColumnFormula>
    </tableColumn>
    <tableColumn id="12" name="Белки верх" dataDxfId="236">
      <calculatedColumnFormula>Таблица4[Вес]*Таблица4[Коэф белки верх]</calculatedColumnFormula>
    </tableColumn>
    <tableColumn id="13" name="Жиры низ" dataDxfId="235">
      <calculatedColumnFormula>Таблица4[Вес]*Таблица4[Коэф.Жир низ]</calculatedColumnFormula>
    </tableColumn>
    <tableColumn id="14" name="Жиры верх" dataDxfId="234">
      <calculatedColumnFormula>Таблица4[Вес]*Таблица4[Коэф. Жир верх]</calculatedColumnFormula>
    </tableColumn>
    <tableColumn id="15" name="Углеводы низ" dataDxfId="233">
      <calculatedColumnFormula>(Таблица4[Калории мин]-(Таблица4[Белки верх]*4+Таблица4[Жиры верх]*9))/4</calculatedColumnFormula>
    </tableColumn>
    <tableColumn id="16" name="Углеводы верх" dataDxfId="232">
      <calculatedColumnFormula>(Таблица4[Калории макс]-(Таблица4[Белки низ]*4+Таблица4[Жиры низ]*9))/4</calculatedColumnFormula>
    </tableColumn>
    <tableColumn id="9" name="Калории мин" dataDxfId="231">
      <calculatedColumnFormula>Таблица4[TDEE]-Таблица4[Коэф дифицита верх]</calculatedColumnFormula>
    </tableColumn>
    <tableColumn id="10" name="Калории макс" dataDxfId="230">
      <calculatedColumnFormula>Таблица4[TDEE]-Таблица4[Кэф дифицита низ]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2" name="Состав" displayName="Состав" ref="A1:B3" headerRowDxfId="229" dataDxfId="228">
  <autoFilter ref="A1:B3">
    <filterColumn colId="0" hiddenButton="1"/>
    <filterColumn colId="1" hiddenButton="1"/>
  </autoFilter>
  <tableColumns count="2">
    <tableColumn id="1" name="Продукт" totalsRowLabel="Итог" dataDxfId="227" totalsRowDxfId="226"/>
    <tableColumn id="2" name="Состав" dataDxfId="225" totalsRowDxfId="224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1" name="Рассчет" displayName="Рассчет" ref="A1:J2" headerRowDxfId="223" dataDxfId="222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Продукт" totalsRowLabel="Итог" dataDxfId="221" totalsRowDxfId="220"/>
    <tableColumn id="9" name="Вес, гр" totalsRowFunction="custom" dataDxfId="219" totalsRowDxfId="218">
      <totalsRowFormula>SUMPRODUCT(Рассчет[Вес, гр], Рассчет[Количество])</totalsRowFormula>
    </tableColumn>
    <tableColumn id="10" name="Количество" totalsRowFunction="sum" dataDxfId="217" totalsRowDxfId="216"/>
    <tableColumn id="2" name="Исх. Вес. гр" totalsRowFunction="sum" dataDxfId="215" totalsRowDxfId="214">
      <calculatedColumnFormula>INDEX(Продукты!$H:$H, MATCH(Рассчет[[#This Row],[Продукт]], Продукты!$A:$A, 0))</calculatedColumnFormula>
    </tableColumn>
    <tableColumn id="3" name="Белки" totalsRowFunction="custom" dataDxfId="213" totalsRowDxfId="212">
      <calculatedColumnFormula>INDEX(Продукты!$B:$B, MATCH(Рассчет[[#This Row],[Продукт]], Продукты!$A:$A, 0)) * (Рассчет[[#This Row],[Вес, гр]]/100)*Рассчет[Количество]</calculatedColumnFormula>
      <totalsRowFormula>SUMPRODUCT(Рассчет[Белки], Рассчет[Количество])</totalsRowFormula>
    </tableColumn>
    <tableColumn id="4" name="Жиры" totalsRowFunction="custom" dataDxfId="211" totalsRowDxfId="210">
      <calculatedColumnFormula>INDEX(Продукты!$C:$C, MATCH(Рассчет[[#This Row],[Продукт]], Продукты!$A:$A, 0)) * (Рассчет[[#This Row],[Вес, гр]]/100)*Рассчет[Количество]</calculatedColumnFormula>
      <totalsRowFormula>SUMPRODUCT(Рассчет[Жиры], Рассчет[Количество])</totalsRowFormula>
    </tableColumn>
    <tableColumn id="5" name="Углеводы" totalsRowFunction="custom" dataDxfId="209" totalsRowDxfId="208">
      <calculatedColumnFormula>INDEX(Продукты!$D:$D, MATCH(Рассчет[[#This Row],[Продукт]], Продукты!$A:$A, 0)) * (Рассчет[[#This Row],[Вес, гр]]/100)*Рассчет[Количество]</calculatedColumnFormula>
      <totalsRowFormula>SUMPRODUCT(Рассчет[Углеводы], Рассчет[Количество])</totalsRowFormula>
    </tableColumn>
    <tableColumn id="6" name="Клетчатка" totalsRowFunction="custom" dataDxfId="207" totalsRowDxfId="206">
      <calculatedColumnFormula>INDEX(Продукты!$E:$E, MATCH(Рассчет[[#This Row],[Продукт]], Продукты!$A:$A, 0)) * (Рассчет[[#This Row],[Вес, гр]]/100)*Рассчет[Количество]</calculatedColumnFormula>
      <totalsRowFormula>SUMPRODUCT(Рассчет[Клетчатка], Рассчет[Количество])</totalsRowFormula>
    </tableColumn>
    <tableColumn id="7" name="Пищевые волокна" totalsRowFunction="custom" dataDxfId="205" totalsRowDxfId="204">
      <calculatedColumnFormula>INDEX(Продукты!$F:$F, MATCH(Рассчет[[#This Row],[Продукт]], Продукты!$A:$A, 0)) * (Рассчет[[#This Row],[Вес, гр]]/100)*Рассчет[Количество]</calculatedColumnFormula>
      <totalsRowFormula>SUMPRODUCT(Рассчет[Пищевые волокна], Рассчет[Количество])</totalsRowFormula>
    </tableColumn>
    <tableColumn id="8" name="Калории, ккл" totalsRowFunction="sum" dataDxfId="203" totalsRowDxfId="202">
      <calculatedColumnFormula>INDEX(Продукты!$G:$G, MATCH(Рассчет[[#This Row],[Продукт]], Продукты!$A:$A, 0)) * (Рассчет[[#This Row],[Вес, гр]]/100)*Рассчет[Количество]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10" name="Рецепт" displayName="Рецепт" ref="A1:I3" headerRowDxfId="201" dataDxfId="200">
  <autoFilter ref="A1:I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Название" totalsRowLabel="Итог" dataDxfId="199" totalsRowDxfId="198"/>
    <tableColumn id="2" name="Рецепт" dataDxfId="197" totalsRowDxfId="196"/>
    <tableColumn id="4" name="Белки" dataDxfId="195" totalsRowDxfId="194"/>
    <tableColumn id="5" name="Жиры" dataDxfId="193" totalsRowDxfId="192"/>
    <tableColumn id="6" name="Углеводы" dataDxfId="191" totalsRowDxfId="190"/>
    <tableColumn id="7" name="Клетчатка" dataDxfId="189" totalsRowDxfId="188"/>
    <tableColumn id="8" name="Пищевые волокна" dataDxfId="187" totalsRowDxfId="186"/>
    <tableColumn id="9" name="Калории" dataDxfId="185" totalsRowDxfId="184"/>
    <tableColumn id="10" name="Вес" dataDxfId="183" totalsRowDxfId="182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3" name="ПН" displayName="ПН" ref="A1:L2" headerRowDxfId="181" dataDxfId="180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79" totalsRowDxfId="178"/>
    <tableColumn id="1" name="Продукт" totalsRowLabel="Итог" dataDxfId="177" totalsRowDxfId="176"/>
    <tableColumn id="12" name="Время приёма" dataDxfId="175" totalsRowDxfId="174"/>
    <tableColumn id="9" name="Вес" totalsRowFunction="custom" dataDxfId="173" totalsRowDxfId="172">
      <totalsRowFormula>SUMPRODUCT(ПН[Вес], ПН[Количество])</totalsRowFormula>
    </tableColumn>
    <tableColumn id="10" name="Количество" totalsRowFunction="sum" dataDxfId="171" totalsRowDxfId="170"/>
    <tableColumn id="2" name="Исх. Вес." totalsRowFunction="sum" dataDxfId="169" totalsRowDxfId="168">
      <calculatedColumnFormula>INDEX(Продукты!$H:$H, MATCH(ПН[[#This Row],[Продукт]], Продукты!$A:$A, 0))</calculatedColumnFormula>
    </tableColumn>
    <tableColumn id="3" name="Белки" totalsRowFunction="custom" dataDxfId="167" totalsRowDxfId="166">
      <calculatedColumnFormula>INDEX(Продукты!$B:$B, MATCH(ПН[[#This Row],[Продукт]], Продукты!$A:$A, 0)) * (ПН[[#This Row],[Вес]]/100)*ПН[Количество]</calculatedColumnFormula>
      <totalsRowFormula>SUMPRODUCT(ПН[Белки], ПН[Количество])</totalsRowFormula>
    </tableColumn>
    <tableColumn id="4" name="Жиры" totalsRowFunction="custom" dataDxfId="165" totalsRowDxfId="164">
      <calculatedColumnFormula>INDEX(Продукты!$C:$C, MATCH(ПН[[#This Row],[Продукт]], Продукты!$A:$A, 0)) * (ПН[[#This Row],[Вес]]/100)*ПН[Количество]</calculatedColumnFormula>
      <totalsRowFormula>SUMPRODUCT(ПН[Жиры], ПН[Количество])</totalsRowFormula>
    </tableColumn>
    <tableColumn id="5" name="Углеводы" totalsRowFunction="custom" dataDxfId="163" totalsRowDxfId="162">
      <calculatedColumnFormula>INDEX(Продукты!$D:$D, MATCH(ПН[[#This Row],[Продукт]], Продукты!$A:$A, 0)) * (ПН[[#This Row],[Вес]]/100)*ПН[Количество]</calculatedColumnFormula>
      <totalsRowFormula>SUMPRODUCT(ПН[Углеводы], ПН[Количество])</totalsRowFormula>
    </tableColumn>
    <tableColumn id="6" name="Клетчатка" totalsRowFunction="custom" dataDxfId="161" totalsRowDxfId="160">
      <calculatedColumnFormula>INDEX(Продукты!$E:$E, MATCH(ПН[[#This Row],[Продукт]], Продукты!$A:$A, 0)) * (ПН[[#This Row],[Вес]]/100)*ПН[Количество]</calculatedColumnFormula>
      <totalsRowFormula>SUMPRODUCT(ПН[Клетчатка], ПН[Количество])</totalsRowFormula>
    </tableColumn>
    <tableColumn id="7" name="Пищевые волокна" totalsRowFunction="custom" dataDxfId="159" totalsRowDxfId="158">
      <calculatedColumnFormula>INDEX(Продукты!$F:$F, MATCH(ПН[[#This Row],[Продукт]], Продукты!$A:$A, 0)) * (ПН[[#This Row],[Вес]]/100)*ПН[Количество]</calculatedColumnFormula>
      <totalsRowFormula>SUMPRODUCT(ПН[Пищевые волокна], ПН[Количество])</totalsRowFormula>
    </tableColumn>
    <tableColumn id="8" name="Калории, ккл" totalsRowFunction="sum" dataDxfId="157" totalsRowDxfId="156">
      <calculatedColumnFormula>INDEX(Продукты!$G:$G, MATCH(ПН[[#This Row],[Продукт]], Продукты!$A:$A, 0)) * (ПН[[#This Row],[Вес]]/100)*ПН[Количество]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5" name="ВТ" displayName="ВТ" ref="A1:L2" headerRowDxfId="155" dataDxfId="154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53" totalsRowDxfId="152"/>
    <tableColumn id="1" name="Продукт" totalsRowLabel="Итог" dataDxfId="151" totalsRowDxfId="150"/>
    <tableColumn id="12" name="Время приёма" dataDxfId="149" totalsRowDxfId="148"/>
    <tableColumn id="9" name="Вес" totalsRowFunction="custom" dataDxfId="147" totalsRowDxfId="146">
      <totalsRowFormula>SUMPRODUCT(ВТ[Вес], ВТ[Количество])</totalsRowFormula>
    </tableColumn>
    <tableColumn id="10" name="Количество" totalsRowFunction="sum" dataDxfId="145" totalsRowDxfId="144"/>
    <tableColumn id="2" name="Исх. Вес." totalsRowFunction="sum" dataDxfId="143" totalsRowDxfId="142">
      <calculatedColumnFormula>INDEX(Продукты!$H:$H, MATCH(ВТ[[#This Row],[Продукт]], Продукты!$A:$A, 0))</calculatedColumnFormula>
    </tableColumn>
    <tableColumn id="3" name="Белки" totalsRowFunction="custom" dataDxfId="141" totalsRowDxfId="140">
      <calculatedColumnFormula>INDEX(Продукты!$B:$B, MATCH(ВТ[[#This Row],[Продукт]], Продукты!$A:$A, 0)) * (ВТ[[#This Row],[Вес]]/100)*ВТ[Количество]</calculatedColumnFormula>
      <totalsRowFormula>SUMPRODUCT(ВТ[Белки], ВТ[Количество])</totalsRowFormula>
    </tableColumn>
    <tableColumn id="4" name="Жиры" totalsRowFunction="custom" dataDxfId="139" totalsRowDxfId="138">
      <calculatedColumnFormula>INDEX(Продукты!$C:$C, MATCH(ВТ[[#This Row],[Продукт]], Продукты!$A:$A, 0)) * (ВТ[[#This Row],[Вес]]/100)*ВТ[Количество]</calculatedColumnFormula>
      <totalsRowFormula>SUMPRODUCT(ВТ[Жиры], ВТ[Количество])</totalsRowFormula>
    </tableColumn>
    <tableColumn id="5" name="Углеводы" totalsRowFunction="custom" dataDxfId="137" totalsRowDxfId="136">
      <calculatedColumnFormula>INDEX(Продукты!$D:$D, MATCH(ВТ[[#This Row],[Продукт]], Продукты!$A:$A, 0)) * (ВТ[[#This Row],[Вес]]/100)*ВТ[Количество]</calculatedColumnFormula>
      <totalsRowFormula>SUMPRODUCT(ВТ[Углеводы], ВТ[Количество])</totalsRowFormula>
    </tableColumn>
    <tableColumn id="6" name="Клетчатка" totalsRowFunction="custom" dataDxfId="135" totalsRowDxfId="134">
      <calculatedColumnFormula>INDEX(Продукты!$E:$E, MATCH(ВТ[[#This Row],[Продукт]], Продукты!$A:$A, 0)) * (ВТ[[#This Row],[Вес]]/100)*ВТ[Количество]</calculatedColumnFormula>
      <totalsRowFormula>SUMPRODUCT(ВТ[Клетчатка], ВТ[Количество])</totalsRowFormula>
    </tableColumn>
    <tableColumn id="7" name="Пищевые волокна" totalsRowFunction="custom" dataDxfId="133" totalsRowDxfId="132">
      <calculatedColumnFormula>INDEX(Продукты!$F:$F, MATCH(ВТ[[#This Row],[Продукт]], Продукты!$A:$A, 0)) * (ВТ[[#This Row],[Вес]]/100)*ВТ[Количество]</calculatedColumnFormula>
      <totalsRowFormula>SUMPRODUCT(ВТ[Пищевые волокна], ВТ[Количество])</totalsRowFormula>
    </tableColumn>
    <tableColumn id="8" name="Калории, ккл" totalsRowFunction="sum" dataDxfId="131" totalsRowDxfId="130">
      <calculatedColumnFormula>INDEX(Продукты!$G:$G, MATCH(ВТ[[#This Row],[Продукт]], Продукты!$A:$A, 0)) * (ВТ[[#This Row],[Вес]]/100)*ВТ[Количество]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id="6" name="СР" displayName="СР" ref="A1:L2" headerRowDxfId="129" dataDxfId="128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27" totalsRowDxfId="126"/>
    <tableColumn id="1" name="Продукт" totalsRowLabel="Итог" dataDxfId="125" totalsRowDxfId="124"/>
    <tableColumn id="12" name="Время приёма" dataDxfId="123" totalsRowDxfId="122"/>
    <tableColumn id="9" name="Вес" totalsRowFunction="custom" dataDxfId="121" totalsRowDxfId="120">
      <totalsRowFormula>SUMPRODUCT(СР[Вес], СР[Количество])</totalsRowFormula>
    </tableColumn>
    <tableColumn id="10" name="Количество" totalsRowFunction="sum" dataDxfId="119" totalsRowDxfId="118"/>
    <tableColumn id="2" name="Исх. Вес." totalsRowFunction="sum" dataDxfId="117" totalsRowDxfId="116">
      <calculatedColumnFormula>INDEX(Продукты!$H:$H, MATCH(СР[[#This Row],[Продукт]], Продукты!$A:$A, 0))</calculatedColumnFormula>
    </tableColumn>
    <tableColumn id="3" name="Белки" totalsRowFunction="custom" dataDxfId="115" totalsRowDxfId="114">
      <calculatedColumnFormula>INDEX(Продукты!$B:$B, MATCH(СР[[#This Row],[Продукт]], Продукты!$A:$A, 0)) * (СР[[#This Row],[Вес]]/100)*СР[Количество]</calculatedColumnFormula>
      <totalsRowFormula>SUMPRODUCT(СР[Белки], СР[Количество])</totalsRowFormula>
    </tableColumn>
    <tableColumn id="4" name="Жиры" totalsRowFunction="custom" dataDxfId="113" totalsRowDxfId="112">
      <calculatedColumnFormula>INDEX(Продукты!$C:$C, MATCH(СР[[#This Row],[Продукт]], Продукты!$A:$A, 0)) * (СР[[#This Row],[Вес]]/100)*СР[Количество]</calculatedColumnFormula>
      <totalsRowFormula>SUMPRODUCT(СР[Жиры], СР[Количество])</totalsRowFormula>
    </tableColumn>
    <tableColumn id="5" name="Углеводы" totalsRowFunction="custom" dataDxfId="111" totalsRowDxfId="110">
      <calculatedColumnFormula>INDEX(Продукты!$D:$D, MATCH(СР[[#This Row],[Продукт]], Продукты!$A:$A, 0)) * (СР[[#This Row],[Вес]]/100)*СР[Количество]</calculatedColumnFormula>
      <totalsRowFormula>SUMPRODUCT(СР[Углеводы], СР[Количество])</totalsRowFormula>
    </tableColumn>
    <tableColumn id="6" name="Клетчатка" totalsRowFunction="custom" dataDxfId="109" totalsRowDxfId="108">
      <calculatedColumnFormula>INDEX(Продукты!$E:$E, MATCH(СР[[#This Row],[Продукт]], Продукты!$A:$A, 0)) * (СР[[#This Row],[Вес]]/100)*СР[Количество]</calculatedColumnFormula>
      <totalsRowFormula>SUMPRODUCT(СР[Клетчатка], СР[Количество])</totalsRowFormula>
    </tableColumn>
    <tableColumn id="7" name="Пищевые волокна" totalsRowFunction="custom" dataDxfId="107" totalsRowDxfId="106">
      <calculatedColumnFormula>INDEX(Продукты!$F:$F, MATCH(СР[[#This Row],[Продукт]], Продукты!$A:$A, 0)) * (СР[[#This Row],[Вес]]/100)*СР[Количество]</calculatedColumnFormula>
      <totalsRowFormula>SUMPRODUCT(СР[Пищевые волокна], СР[Количество])</totalsRowFormula>
    </tableColumn>
    <tableColumn id="8" name="Калории, ккл" totalsRowFunction="sum" dataDxfId="105" totalsRowDxfId="104">
      <calculatedColumnFormula>INDEX(Продукты!$G:$G, MATCH(СР[[#This Row],[Продукт]], Продукты!$A:$A, 0)) * (СР[[#This Row],[Вес]]/100)*СР[Количество]</calculatedColumn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7" name="ЧТ" displayName="ЧТ" ref="A1:L2" headerRowDxfId="103" dataDxfId="102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01" totalsRowDxfId="100"/>
    <tableColumn id="1" name="Продукт" totalsRowLabel="Итог" dataDxfId="99" totalsRowDxfId="98"/>
    <tableColumn id="12" name="Время приёма" dataDxfId="97" totalsRowDxfId="96"/>
    <tableColumn id="9" name="Вес" totalsRowFunction="custom" dataDxfId="95" totalsRowDxfId="94">
      <totalsRowFormula>SUMPRODUCT(ЧТ[Вес], ЧТ[Количество])</totalsRowFormula>
    </tableColumn>
    <tableColumn id="10" name="Количество" totalsRowFunction="sum" dataDxfId="93" totalsRowDxfId="92"/>
    <tableColumn id="2" name="Исх. Вес." totalsRowFunction="sum" dataDxfId="91" totalsRowDxfId="90">
      <calculatedColumnFormula>INDEX(Продукты!$H:$H, MATCH(ЧТ[[#This Row],[Продукт]], Продукты!$A:$A, 0))</calculatedColumnFormula>
    </tableColumn>
    <tableColumn id="3" name="Белки" totalsRowFunction="custom" dataDxfId="89" totalsRowDxfId="88">
      <calculatedColumnFormula>INDEX(Продукты!$B:$B, MATCH(ЧТ[[#This Row],[Продукт]], Продукты!$A:$A, 0)) * (ЧТ[[#This Row],[Вес]]/100)*ЧТ[Количество]</calculatedColumnFormula>
      <totalsRowFormula>SUMPRODUCT(ЧТ[Белки], ЧТ[Количество])</totalsRowFormula>
    </tableColumn>
    <tableColumn id="4" name="Жиры" totalsRowFunction="custom" dataDxfId="87" totalsRowDxfId="86">
      <calculatedColumnFormula>INDEX(Продукты!$C:$C, MATCH(ЧТ[[#This Row],[Продукт]], Продукты!$A:$A, 0)) * (ЧТ[[#This Row],[Вес]]/100)*ЧТ[Количество]</calculatedColumnFormula>
      <totalsRowFormula>SUMPRODUCT(ЧТ[Жиры], ЧТ[Количество])</totalsRowFormula>
    </tableColumn>
    <tableColumn id="5" name="Углеводы" totalsRowFunction="custom" dataDxfId="85" totalsRowDxfId="84">
      <calculatedColumnFormula>INDEX(Продукты!$D:$D, MATCH(ЧТ[[#This Row],[Продукт]], Продукты!$A:$A, 0)) * (ЧТ[[#This Row],[Вес]]/100)*ЧТ[Количество]</calculatedColumnFormula>
      <totalsRowFormula>SUMPRODUCT(ЧТ[Углеводы], ЧТ[Количество])</totalsRowFormula>
    </tableColumn>
    <tableColumn id="6" name="Клетчатка" totalsRowFunction="custom" dataDxfId="83" totalsRowDxfId="82">
      <calculatedColumnFormula>INDEX(Продукты!$E:$E, MATCH(ЧТ[[#This Row],[Продукт]], Продукты!$A:$A, 0)) * (ЧТ[[#This Row],[Вес]]/100)*ЧТ[Количество]</calculatedColumnFormula>
      <totalsRowFormula>SUMPRODUCT(ЧТ[Клетчатка], ЧТ[Количество])</totalsRowFormula>
    </tableColumn>
    <tableColumn id="7" name="Пищевые волокна" totalsRowFunction="custom" dataDxfId="81" totalsRowDxfId="80">
      <calculatedColumnFormula>INDEX(Продукты!$F:$F, MATCH(ЧТ[[#This Row],[Продукт]], Продукты!$A:$A, 0)) * (ЧТ[[#This Row],[Вес]]/100)*ЧТ[Количество]</calculatedColumnFormula>
      <totalsRowFormula>SUMPRODUCT(ЧТ[Пищевые волокна], ЧТ[Количество])</totalsRowFormula>
    </tableColumn>
    <tableColumn id="8" name="Калории, ккл" totalsRowFunction="sum" dataDxfId="79" totalsRowDxfId="78">
      <calculatedColumnFormula>INDEX(Продукты!$G:$G, MATCH(ЧТ[[#This Row],[Продукт]], Продукты!$A:$A, 0)) * (ЧТ[[#This Row],[Вес]]/100)*ЧТ[Количество]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id="8" name="ПТ" displayName="ПТ" ref="A1:L2" headerRowDxfId="77" dataDxfId="76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75" totalsRowDxfId="74"/>
    <tableColumn id="1" name="Продукт" totalsRowLabel="Итог" dataDxfId="73" totalsRowDxfId="72"/>
    <tableColumn id="12" name="Время приёма" dataDxfId="71" totalsRowDxfId="70"/>
    <tableColumn id="9" name="Вес" totalsRowFunction="custom" dataDxfId="69" totalsRowDxfId="68">
      <totalsRowFormula>SUMPRODUCT(ПТ[Вес], ПТ[Количество])</totalsRowFormula>
    </tableColumn>
    <tableColumn id="10" name="Количество" totalsRowFunction="sum" dataDxfId="67" totalsRowDxfId="66"/>
    <tableColumn id="2" name="Исх. Вес." totalsRowFunction="sum" dataDxfId="65" totalsRowDxfId="64">
      <calculatedColumnFormula>INDEX(Продукты!$H:$H, MATCH(ПТ[[#This Row],[Продукт]], Продукты!$A:$A, 0))</calculatedColumnFormula>
    </tableColumn>
    <tableColumn id="3" name="Белки" totalsRowFunction="custom" dataDxfId="63" totalsRowDxfId="62">
      <calculatedColumnFormula>INDEX(Продукты!$B:$B, MATCH(ПТ[[#This Row],[Продукт]], Продукты!$A:$A, 0)) * (ПТ[[#This Row],[Вес]]/100)*ПТ[Количество]</calculatedColumnFormula>
      <totalsRowFormula>SUMPRODUCT(ПТ[Белки], ПТ[Количество])</totalsRowFormula>
    </tableColumn>
    <tableColumn id="4" name="Жиры" totalsRowFunction="custom" dataDxfId="61" totalsRowDxfId="60">
      <calculatedColumnFormula>INDEX(Продукты!$C:$C, MATCH(ПТ[[#This Row],[Продукт]], Продукты!$A:$A, 0)) * (ПТ[[#This Row],[Вес]]/100)*ПТ[Количество]</calculatedColumnFormula>
      <totalsRowFormula>SUMPRODUCT(ПТ[Жиры], ПТ[Количество])</totalsRowFormula>
    </tableColumn>
    <tableColumn id="5" name="Углеводы" totalsRowFunction="custom" dataDxfId="59" totalsRowDxfId="58">
      <calculatedColumnFormula>INDEX(Продукты!$D:$D, MATCH(ПТ[[#This Row],[Продукт]], Продукты!$A:$A, 0)) * (ПТ[[#This Row],[Вес]]/100)*ПТ[Количество]</calculatedColumnFormula>
      <totalsRowFormula>SUMPRODUCT(ПТ[Углеводы], ПТ[Количество])</totalsRowFormula>
    </tableColumn>
    <tableColumn id="6" name="Клетчатка" totalsRowFunction="custom" dataDxfId="57" totalsRowDxfId="56">
      <calculatedColumnFormula>INDEX(Продукты!$E:$E, MATCH(ПТ[[#This Row],[Продукт]], Продукты!$A:$A, 0)) * (ПТ[[#This Row],[Вес]]/100)*ПТ[Количество]</calculatedColumnFormula>
      <totalsRowFormula>SUMPRODUCT(ПТ[Клетчатка], ПТ[Количество])</totalsRowFormula>
    </tableColumn>
    <tableColumn id="7" name="Пищевые волокна" totalsRowFunction="custom" dataDxfId="55" totalsRowDxfId="54">
      <calculatedColumnFormula>INDEX(Продукты!$F:$F, MATCH(ПТ[[#This Row],[Продукт]], Продукты!$A:$A, 0)) * (ПТ[[#This Row],[Вес]]/100)*ПТ[Количество]</calculatedColumnFormula>
      <totalsRowFormula>SUMPRODUCT(ПТ[Пищевые волокна], ПТ[Количество])</totalsRowFormula>
    </tableColumn>
    <tableColumn id="8" name="Калории, ккл" totalsRowFunction="sum" dataDxfId="53" totalsRowDxfId="52">
      <calculatedColumnFormula>INDEX(Продукты!$G:$G, MATCH(ПТ[[#This Row],[Продукт]], Продукты!$A:$A, 0)) * (ПТ[[#This Row],[Вес]]/100)*ПТ[Количество]</calculatedColumnFormula>
    </tableColumn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id="9" name="СБ" displayName="СБ" ref="A1:L2" headerRowDxfId="51" dataDxfId="50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49" totalsRowDxfId="48"/>
    <tableColumn id="1" name="Продукт" totalsRowLabel="Итог" dataDxfId="47" totalsRowDxfId="46"/>
    <tableColumn id="12" name="Время приёма" dataDxfId="45" totalsRowDxfId="44"/>
    <tableColumn id="9" name="Вес" totalsRowFunction="custom" dataDxfId="43" totalsRowDxfId="42">
      <totalsRowFormula>SUMPRODUCT(СБ[Вес], СБ[Количество])</totalsRowFormula>
    </tableColumn>
    <tableColumn id="10" name="Количество" totalsRowFunction="sum" dataDxfId="41" totalsRowDxfId="40"/>
    <tableColumn id="2" name="Исх. Вес." totalsRowFunction="sum" dataDxfId="39" totalsRowDxfId="38">
      <calculatedColumnFormula>INDEX(Продукты!$H:$H, MATCH(СБ[[#This Row],[Продукт]], Продукты!$A:$A, 0))</calculatedColumnFormula>
    </tableColumn>
    <tableColumn id="3" name="Белки" totalsRowFunction="custom" dataDxfId="37" totalsRowDxfId="36">
      <calculatedColumnFormula>INDEX(Продукты!$B:$B, MATCH(СБ[[#This Row],[Продукт]], Продукты!$A:$A, 0)) * (СБ[[#This Row],[Вес]]/100)*СБ[Количество]</calculatedColumnFormula>
      <totalsRowFormula>SUMPRODUCT(СБ[Белки], СБ[Количество])</totalsRowFormula>
    </tableColumn>
    <tableColumn id="4" name="Жиры" totalsRowFunction="custom" dataDxfId="35" totalsRowDxfId="34">
      <calculatedColumnFormula>INDEX(Продукты!$C:$C, MATCH(СБ[[#This Row],[Продукт]], Продукты!$A:$A, 0)) * (СБ[[#This Row],[Вес]]/100)*СБ[Количество]</calculatedColumnFormula>
      <totalsRowFormula>SUMPRODUCT(СБ[Жиры], СБ[Количество])</totalsRowFormula>
    </tableColumn>
    <tableColumn id="5" name="Углеводы" totalsRowFunction="custom" dataDxfId="33" totalsRowDxfId="32">
      <calculatedColumnFormula>INDEX(Продукты!$D:$D, MATCH(СБ[[#This Row],[Продукт]], Продукты!$A:$A, 0)) * (СБ[[#This Row],[Вес]]/100)*СБ[Количество]</calculatedColumnFormula>
      <totalsRowFormula>SUMPRODUCT(СБ[Углеводы], СБ[Количество])</totalsRowFormula>
    </tableColumn>
    <tableColumn id="6" name="Клетчатка" totalsRowFunction="custom" dataDxfId="31" totalsRowDxfId="30">
      <calculatedColumnFormula>INDEX(Продукты!$E:$E, MATCH(СБ[[#This Row],[Продукт]], Продукты!$A:$A, 0)) * (СБ[[#This Row],[Вес]]/100)*СБ[Количество]</calculatedColumnFormula>
      <totalsRowFormula>SUMPRODUCT(СБ[Клетчатка], СБ[Количество])</totalsRowFormula>
    </tableColumn>
    <tableColumn id="7" name="Пищевые волокна" totalsRowFunction="custom" dataDxfId="29" totalsRowDxfId="28">
      <calculatedColumnFormula>INDEX(Продукты!$F:$F, MATCH(СБ[[#This Row],[Продукт]], Продукты!$A:$A, 0)) * (СБ[[#This Row],[Вес]]/100)*СБ[Количество]</calculatedColumnFormula>
      <totalsRowFormula>SUMPRODUCT(СБ[Пищевые волокна], СБ[Количество])</totalsRowFormula>
    </tableColumn>
    <tableColumn id="8" name="Калории, ккл" totalsRowFunction="sum" dataDxfId="27" totalsRowDxfId="26">
      <calculatedColumnFormula>INDEX(Продукты!$G:$G, MATCH(СБ[[#This Row],[Продукт]], Продукты!$A:$A, 0)) * (СБ[[#This Row],[Вес]]/100)*СБ[Количество]</calculatedColumnFormula>
    </tableColumn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id="11" name="ВС" displayName="ВС" ref="A1:L2" headerRowDxfId="25" dataDxfId="24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23" totalsRowDxfId="22"/>
    <tableColumn id="1" name="Продукт" totalsRowLabel="Итог" dataDxfId="21" totalsRowDxfId="20"/>
    <tableColumn id="12" name="Время приёма" dataDxfId="19" totalsRowDxfId="18"/>
    <tableColumn id="9" name="Вес" totalsRowFunction="custom" dataDxfId="17" totalsRowDxfId="16">
      <totalsRowFormula>SUMPRODUCT(ВС[Вес], ВС[Количество])</totalsRowFormula>
    </tableColumn>
    <tableColumn id="10" name="Количество" totalsRowFunction="sum" dataDxfId="15" totalsRowDxfId="14"/>
    <tableColumn id="2" name="Исх. Вес." totalsRowFunction="sum" dataDxfId="13" totalsRowDxfId="12">
      <calculatedColumnFormula>INDEX(Продукты!$H:$H, MATCH(ВС[[#This Row],[Продукт]], Продукты!$A:$A, 0))</calculatedColumnFormula>
    </tableColumn>
    <tableColumn id="3" name="Белки" totalsRowFunction="custom" dataDxfId="11" totalsRowDxfId="10">
      <calculatedColumnFormula>INDEX(Продукты!$B:$B, MATCH(ВС[[#This Row],[Продукт]], Продукты!$A:$A, 0)) * (ВС[[#This Row],[Вес]]/100)*ВС[Количество]</calculatedColumnFormula>
      <totalsRowFormula>SUMPRODUCT(ВС[Белки], ВС[Количество])</totalsRowFormula>
    </tableColumn>
    <tableColumn id="4" name="Жиры" totalsRowFunction="custom" dataDxfId="9" totalsRowDxfId="8">
      <calculatedColumnFormula>INDEX(Продукты!$C:$C, MATCH(ВС[[#This Row],[Продукт]], Продукты!$A:$A, 0)) * (ВС[[#This Row],[Вес]]/100)*ВС[Количество]</calculatedColumnFormula>
      <totalsRowFormula>SUMPRODUCT(ВС[Жиры], ВС[Количество])</totalsRowFormula>
    </tableColumn>
    <tableColumn id="5" name="Углеводы" totalsRowFunction="custom" dataDxfId="7" totalsRowDxfId="6">
      <calculatedColumnFormula>INDEX(Продукты!$D:$D, MATCH(ВС[[#This Row],[Продукт]], Продукты!$A:$A, 0)) * (ВС[[#This Row],[Вес]]/100)*ВС[Количество]</calculatedColumnFormula>
      <totalsRowFormula>SUMPRODUCT(ВС[Углеводы], ВС[Количество])</totalsRowFormula>
    </tableColumn>
    <tableColumn id="6" name="Клетчатка" totalsRowFunction="custom" dataDxfId="5" totalsRowDxfId="4">
      <calculatedColumnFormula>INDEX(Продукты!$E:$E, MATCH(ВС[[#This Row],[Продукт]], Продукты!$A:$A, 0)) * (ВС[[#This Row],[Вес]]/100)*ВС[Количество]</calculatedColumnFormula>
      <totalsRowFormula>SUMPRODUCT(ВС[Клетчатка], ВС[Количество])</totalsRowFormula>
    </tableColumn>
    <tableColumn id="7" name="Пищевые волокна" totalsRowFunction="custom" dataDxfId="3" totalsRowDxfId="2">
      <calculatedColumnFormula>INDEX(Продукты!$F:$F, MATCH(ВС[[#This Row],[Продукт]], Продукты!$A:$A, 0)) * (ВС[[#This Row],[Вес]]/100)*ВС[Количество]</calculatedColumnFormula>
      <totalsRowFormula>SUMPRODUCT(ВС[Пищевые волокна], ВС[Количество])</totalsRowFormula>
    </tableColumn>
    <tableColumn id="8" name="Калории, ккл" totalsRowFunction="sum" dataDxfId="1" totalsRowDxfId="0">
      <calculatedColumnFormula>INDEX(Продукты!$G:$G, MATCH(ВС[[#This Row],[Продукт]], Продукты!$A:$A, 0)) * (ВС[[#This Row],[Вес]]/100)*ВС[Количество]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workbookViewId="0">
      <selection activeCell="AN3" sqref="AN3"/>
    </sheetView>
  </sheetViews>
  <sheetFormatPr defaultRowHeight="15.75" x14ac:dyDescent="0.25"/>
  <cols>
    <col min="1" max="1" width="12" style="30" bestFit="1" customWidth="1"/>
    <col min="2" max="2" width="9.140625" style="30"/>
    <col min="3" max="3" width="10" style="1" bestFit="1" customWidth="1"/>
    <col min="4" max="4" width="9.140625" style="30"/>
    <col min="5" max="5" width="56.28515625" style="30" bestFit="1" customWidth="1"/>
    <col min="6" max="6" width="12.5703125" style="30" bestFit="1" customWidth="1"/>
    <col min="7" max="7" width="9.140625" style="30"/>
    <col min="8" max="8" width="56.28515625" style="30" bestFit="1" customWidth="1"/>
    <col min="9" max="9" width="11.5703125" style="30" bestFit="1" customWidth="1"/>
    <col min="10" max="10" width="12.140625" style="30" bestFit="1" customWidth="1"/>
    <col min="11" max="11" width="9.140625" style="30"/>
    <col min="12" max="12" width="27" style="30" bestFit="1" customWidth="1"/>
    <col min="13" max="13" width="11.7109375" style="30" bestFit="1" customWidth="1"/>
    <col min="14" max="14" width="12.28515625" style="30" bestFit="1" customWidth="1"/>
    <col min="15" max="15" width="9.140625" style="30"/>
    <col min="16" max="16" width="27" style="30" bestFit="1" customWidth="1"/>
    <col min="17" max="17" width="21" style="30" bestFit="1" customWidth="1"/>
    <col min="18" max="18" width="21.7109375" style="30" bestFit="1" customWidth="1"/>
    <col min="19" max="19" width="9.140625" style="30"/>
    <col min="20" max="20" width="18.85546875" style="30" bestFit="1" customWidth="1"/>
    <col min="21" max="21" width="19.28515625" style="30" bestFit="1" customWidth="1"/>
    <col min="22" max="22" width="19" style="30" bestFit="1" customWidth="1"/>
    <col min="23" max="23" width="9.140625" style="30"/>
    <col min="24" max="24" width="20.85546875" style="30" bestFit="1" customWidth="1"/>
    <col min="25" max="25" width="19.28515625" style="30" bestFit="1" customWidth="1"/>
    <col min="26" max="26" width="11.42578125" style="30" bestFit="1" customWidth="1"/>
    <col min="27" max="27" width="9.140625" style="30"/>
    <col min="28" max="28" width="30.42578125" style="30" bestFit="1" customWidth="1"/>
    <col min="29" max="29" width="16.140625" style="30" bestFit="1" customWidth="1"/>
    <col min="30" max="30" width="14.7109375" style="30" bestFit="1" customWidth="1"/>
    <col min="31" max="31" width="9.140625" style="30"/>
    <col min="32" max="32" width="18.28515625" style="30" bestFit="1" customWidth="1"/>
    <col min="33" max="33" width="18.85546875" style="30" bestFit="1" customWidth="1"/>
    <col min="34" max="34" width="12" style="30" bestFit="1" customWidth="1"/>
    <col min="35" max="35" width="9.140625" style="30"/>
    <col min="36" max="36" width="14.28515625" style="30" bestFit="1" customWidth="1"/>
    <col min="37" max="37" width="11.42578125" style="30" bestFit="1" customWidth="1"/>
    <col min="38" max="38" width="11" style="30" bestFit="1" customWidth="1"/>
    <col min="39" max="39" width="9.140625" style="30"/>
    <col min="40" max="40" width="16.42578125" style="30" bestFit="1" customWidth="1"/>
    <col min="41" max="41" width="16.85546875" style="30" bestFit="1" customWidth="1"/>
    <col min="42" max="16384" width="9.140625" style="30"/>
  </cols>
  <sheetData>
    <row r="1" spans="1:42" ht="16.5" x14ac:dyDescent="0.3">
      <c r="A1" s="4" t="s">
        <v>14</v>
      </c>
      <c r="C1" s="4" t="s">
        <v>27</v>
      </c>
      <c r="E1" s="32" t="s">
        <v>52</v>
      </c>
      <c r="F1" s="31" t="s">
        <v>53</v>
      </c>
      <c r="H1" s="37" t="s">
        <v>52</v>
      </c>
      <c r="I1" s="38" t="s">
        <v>54</v>
      </c>
      <c r="J1" s="36" t="s">
        <v>55</v>
      </c>
      <c r="L1" s="42" t="s">
        <v>52</v>
      </c>
      <c r="M1" s="44" t="s">
        <v>56</v>
      </c>
      <c r="N1" s="41" t="s">
        <v>57</v>
      </c>
      <c r="P1" s="42" t="s">
        <v>29</v>
      </c>
      <c r="Q1" s="44" t="s">
        <v>58</v>
      </c>
      <c r="R1" s="41" t="s">
        <v>59</v>
      </c>
      <c r="T1" s="31" t="s">
        <v>88</v>
      </c>
      <c r="U1" s="68"/>
      <c r="X1" s="31" t="s">
        <v>83</v>
      </c>
      <c r="AB1" s="31" t="s">
        <v>84</v>
      </c>
      <c r="AF1" s="31" t="s">
        <v>85</v>
      </c>
      <c r="AJ1" s="31" t="s">
        <v>86</v>
      </c>
      <c r="AN1" s="31" t="s">
        <v>112</v>
      </c>
    </row>
    <row r="2" spans="1:42" ht="16.5" x14ac:dyDescent="0.3">
      <c r="A2" s="1" t="s">
        <v>15</v>
      </c>
      <c r="C2" s="1" t="s">
        <v>30</v>
      </c>
      <c r="E2" s="33" t="s">
        <v>47</v>
      </c>
      <c r="F2" s="35">
        <v>1.2</v>
      </c>
      <c r="H2" s="33" t="s">
        <v>47</v>
      </c>
      <c r="I2" s="39">
        <v>1</v>
      </c>
      <c r="J2" s="40">
        <v>1.2</v>
      </c>
      <c r="L2" s="43" t="s">
        <v>60</v>
      </c>
      <c r="M2" s="45">
        <v>0.8</v>
      </c>
      <c r="N2" s="46">
        <v>1</v>
      </c>
      <c r="P2" s="43" t="s">
        <v>60</v>
      </c>
      <c r="Q2" s="49">
        <v>300</v>
      </c>
      <c r="R2" s="47">
        <v>500</v>
      </c>
      <c r="T2" s="67" t="s">
        <v>93</v>
      </c>
      <c r="U2" s="32" t="s">
        <v>94</v>
      </c>
      <c r="V2" s="31" t="s">
        <v>92</v>
      </c>
      <c r="X2" s="67" t="s">
        <v>99</v>
      </c>
      <c r="Y2" s="71" t="s">
        <v>100</v>
      </c>
      <c r="Z2" s="31" t="s">
        <v>92</v>
      </c>
      <c r="AB2" s="67" t="s">
        <v>104</v>
      </c>
      <c r="AC2" s="71" t="s">
        <v>105</v>
      </c>
      <c r="AD2" s="31" t="s">
        <v>92</v>
      </c>
      <c r="AF2" s="67" t="s">
        <v>99</v>
      </c>
      <c r="AG2" s="71" t="s">
        <v>100</v>
      </c>
      <c r="AH2" s="31" t="s">
        <v>92</v>
      </c>
      <c r="AJ2" s="67" t="s">
        <v>107</v>
      </c>
      <c r="AK2" s="71" t="s">
        <v>108</v>
      </c>
      <c r="AL2" s="31" t="s">
        <v>109</v>
      </c>
      <c r="AN2" s="67" t="s">
        <v>113</v>
      </c>
      <c r="AO2" s="71" t="s">
        <v>114</v>
      </c>
      <c r="AP2" s="31" t="s">
        <v>92</v>
      </c>
    </row>
    <row r="3" spans="1:42" ht="16.5" x14ac:dyDescent="0.3">
      <c r="A3" s="1" t="s">
        <v>16</v>
      </c>
      <c r="C3" s="1" t="s">
        <v>46</v>
      </c>
      <c r="E3" s="34" t="s">
        <v>48</v>
      </c>
      <c r="F3" s="35">
        <v>1.375</v>
      </c>
      <c r="H3" s="34" t="s">
        <v>48</v>
      </c>
      <c r="I3" s="39">
        <v>1.2</v>
      </c>
      <c r="J3" s="40">
        <v>1.5</v>
      </c>
      <c r="L3" s="43" t="s">
        <v>61</v>
      </c>
      <c r="M3" s="45">
        <v>0.7</v>
      </c>
      <c r="N3" s="46">
        <v>0.8</v>
      </c>
      <c r="P3" s="43" t="s">
        <v>61</v>
      </c>
      <c r="Q3" s="49">
        <v>500</v>
      </c>
      <c r="R3" s="47">
        <v>800</v>
      </c>
      <c r="T3" s="33">
        <v>0</v>
      </c>
      <c r="U3" s="69">
        <v>8</v>
      </c>
      <c r="V3" s="30" t="s">
        <v>95</v>
      </c>
      <c r="X3" s="34">
        <v>0</v>
      </c>
      <c r="Y3" s="70">
        <v>38.6</v>
      </c>
      <c r="Z3" s="30" t="s">
        <v>101</v>
      </c>
      <c r="AB3" s="34">
        <v>0</v>
      </c>
      <c r="AC3" s="70">
        <v>1</v>
      </c>
      <c r="AD3" s="30" t="s">
        <v>106</v>
      </c>
      <c r="AF3" s="34">
        <v>0</v>
      </c>
      <c r="AG3" s="70">
        <v>2.2999999999999998</v>
      </c>
      <c r="AH3" s="30" t="s">
        <v>95</v>
      </c>
      <c r="AJ3" s="34">
        <v>0</v>
      </c>
      <c r="AK3" s="70">
        <v>18.5</v>
      </c>
      <c r="AL3" s="30" t="s">
        <v>101</v>
      </c>
      <c r="AN3" s="34">
        <v>0</v>
      </c>
      <c r="AO3" s="70">
        <v>1561</v>
      </c>
      <c r="AP3" s="30" t="s">
        <v>115</v>
      </c>
    </row>
    <row r="4" spans="1:42" ht="16.5" x14ac:dyDescent="0.3">
      <c r="A4" s="1" t="s">
        <v>17</v>
      </c>
      <c r="E4" s="34" t="s">
        <v>49</v>
      </c>
      <c r="F4" s="35">
        <v>1.55</v>
      </c>
      <c r="H4" s="34" t="s">
        <v>49</v>
      </c>
      <c r="I4" s="39">
        <v>1.5</v>
      </c>
      <c r="J4" s="40">
        <v>1.8</v>
      </c>
      <c r="L4" s="43" t="s">
        <v>62</v>
      </c>
      <c r="M4" s="45">
        <v>0.9</v>
      </c>
      <c r="N4" s="46">
        <v>1</v>
      </c>
      <c r="P4" s="43" t="s">
        <v>62</v>
      </c>
      <c r="Q4" s="49">
        <v>0</v>
      </c>
      <c r="R4" s="47">
        <v>0</v>
      </c>
      <c r="T4" s="34">
        <v>8</v>
      </c>
      <c r="U4" s="70">
        <v>20</v>
      </c>
      <c r="V4" s="30" t="s">
        <v>96</v>
      </c>
      <c r="X4" s="34">
        <v>38.6</v>
      </c>
      <c r="Y4" s="70">
        <v>53.1</v>
      </c>
      <c r="Z4" s="30" t="s">
        <v>102</v>
      </c>
      <c r="AB4" s="34">
        <v>1</v>
      </c>
      <c r="AC4" s="70">
        <v>9</v>
      </c>
      <c r="AD4" s="30" t="s">
        <v>102</v>
      </c>
      <c r="AF4" s="34">
        <v>2.2999999999999998</v>
      </c>
      <c r="AG4" s="70">
        <v>2.8</v>
      </c>
      <c r="AH4" s="30" t="s">
        <v>102</v>
      </c>
      <c r="AJ4" s="34">
        <v>18.5</v>
      </c>
      <c r="AK4" s="70">
        <v>23</v>
      </c>
      <c r="AL4" s="30" t="s">
        <v>110</v>
      </c>
      <c r="AN4" s="34">
        <v>1561</v>
      </c>
      <c r="AO4" s="70">
        <v>1826</v>
      </c>
      <c r="AP4" s="30" t="s">
        <v>110</v>
      </c>
    </row>
    <row r="5" spans="1:42" ht="16.5" x14ac:dyDescent="0.3">
      <c r="A5" s="1" t="s">
        <v>18</v>
      </c>
      <c r="E5" s="34" t="s">
        <v>50</v>
      </c>
      <c r="F5" s="35">
        <v>1.7250000000000001</v>
      </c>
      <c r="H5" s="34" t="s">
        <v>50</v>
      </c>
      <c r="I5" s="39">
        <v>1.8</v>
      </c>
      <c r="J5" s="40">
        <v>2</v>
      </c>
      <c r="L5" s="43" t="s">
        <v>63</v>
      </c>
      <c r="M5" s="45">
        <v>0.9</v>
      </c>
      <c r="N5" s="46">
        <v>1.2</v>
      </c>
      <c r="P5" s="43" t="s">
        <v>63</v>
      </c>
      <c r="Q5" s="49">
        <v>-300</v>
      </c>
      <c r="R5" s="48">
        <v>-500</v>
      </c>
      <c r="T5" s="34">
        <v>20</v>
      </c>
      <c r="U5" s="70">
        <v>25</v>
      </c>
      <c r="V5" s="30" t="s">
        <v>97</v>
      </c>
      <c r="X5" s="34">
        <v>53.1</v>
      </c>
      <c r="Y5" s="70">
        <v>60</v>
      </c>
      <c r="Z5" s="30" t="s">
        <v>103</v>
      </c>
      <c r="AB5" s="34">
        <v>9</v>
      </c>
      <c r="AC5" s="70">
        <v>15</v>
      </c>
      <c r="AD5" s="30" t="s">
        <v>98</v>
      </c>
      <c r="AF5" s="34">
        <v>2.8</v>
      </c>
      <c r="AG5" s="70">
        <v>4</v>
      </c>
      <c r="AH5" s="30" t="s">
        <v>103</v>
      </c>
      <c r="AJ5" s="34">
        <v>23</v>
      </c>
      <c r="AK5" s="70">
        <v>30</v>
      </c>
      <c r="AL5" s="30" t="s">
        <v>111</v>
      </c>
      <c r="AN5" s="34">
        <v>1826</v>
      </c>
      <c r="AO5" s="70">
        <v>2500</v>
      </c>
      <c r="AP5" s="30" t="s">
        <v>98</v>
      </c>
    </row>
    <row r="6" spans="1:42" x14ac:dyDescent="0.25">
      <c r="A6" s="1" t="s">
        <v>19</v>
      </c>
      <c r="E6" s="34" t="s">
        <v>51</v>
      </c>
      <c r="F6" s="35">
        <v>1.9</v>
      </c>
      <c r="H6" s="34" t="s">
        <v>51</v>
      </c>
      <c r="I6" s="39">
        <v>2</v>
      </c>
      <c r="J6" s="40">
        <v>2.2000000000000002</v>
      </c>
      <c r="T6" s="34">
        <v>25</v>
      </c>
      <c r="U6" s="70">
        <v>30</v>
      </c>
      <c r="V6" s="30" t="s">
        <v>98</v>
      </c>
    </row>
    <row r="7" spans="1:42" x14ac:dyDescent="0.25">
      <c r="E7" s="51" t="s">
        <v>65</v>
      </c>
      <c r="F7" s="35">
        <v>1.3</v>
      </c>
      <c r="H7" s="51" t="s">
        <v>65</v>
      </c>
      <c r="I7" s="39">
        <v>1</v>
      </c>
      <c r="J7" s="40">
        <v>1.2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zoomScale="80" zoomScaleNormal="8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1.28515625" style="63" bestFit="1" customWidth="1"/>
    <col min="2" max="2" width="9.85546875" style="3" customWidth="1"/>
    <col min="3" max="3" width="11.42578125" style="3" customWidth="1"/>
    <col min="4" max="4" width="15.140625" style="64" customWidth="1"/>
    <col min="5" max="5" width="10.85546875" style="1" bestFit="1" customWidth="1"/>
    <col min="6" max="6" width="11.28515625" style="3" customWidth="1"/>
    <col min="7" max="7" width="13" style="3" customWidth="1"/>
    <col min="8" max="8" width="13.28515625" style="3" customWidth="1"/>
    <col min="9" max="9" width="19" style="3" customWidth="1"/>
    <col min="10" max="10" width="17.5703125" style="3" customWidth="1"/>
    <col min="11" max="11" width="12.85546875" style="3" customWidth="1"/>
    <col min="12" max="12" width="12.7109375" style="3" customWidth="1"/>
    <col min="13" max="13" width="19" style="3" customWidth="1"/>
    <col min="14" max="14" width="20.42578125" style="3" customWidth="1"/>
    <col min="15" max="15" width="19.28515625" style="3" customWidth="1"/>
    <col min="16" max="16" width="17.85546875" style="3" customWidth="1"/>
    <col min="17" max="17" width="17" style="3" bestFit="1" customWidth="1"/>
    <col min="18" max="18" width="26" style="3" customWidth="1"/>
    <col min="19" max="19" width="19.28515625" style="3" bestFit="1" customWidth="1"/>
    <col min="20" max="20" width="23.28515625" style="3" bestFit="1" customWidth="1"/>
    <col min="21" max="21" width="29.42578125" style="3" bestFit="1" customWidth="1"/>
    <col min="22" max="22" width="32.140625" style="3" bestFit="1" customWidth="1"/>
    <col min="23" max="23" width="32.140625" style="1" bestFit="1" customWidth="1"/>
    <col min="24" max="24" width="30.140625" style="1" bestFit="1" customWidth="1"/>
    <col min="25" max="25" width="29.7109375" style="1" bestFit="1" customWidth="1"/>
    <col min="26" max="26" width="15.5703125" style="1" bestFit="1" customWidth="1"/>
    <col min="27" max="27" width="22.140625" style="1" bestFit="1" customWidth="1"/>
    <col min="28" max="28" width="16.140625" style="1" bestFit="1" customWidth="1"/>
    <col min="29" max="29" width="22.28515625" style="1" bestFit="1" customWidth="1"/>
    <col min="30" max="30" width="16.140625" style="1" bestFit="1" customWidth="1"/>
    <col min="31" max="31" width="26" style="1" bestFit="1" customWidth="1"/>
    <col min="32" max="16384" width="9.140625" style="1"/>
  </cols>
  <sheetData>
    <row r="1" spans="1:31" x14ac:dyDescent="0.25">
      <c r="A1" s="63" t="s">
        <v>68</v>
      </c>
      <c r="B1" s="3" t="s">
        <v>69</v>
      </c>
      <c r="C1" s="3" t="s">
        <v>70</v>
      </c>
      <c r="D1" s="64" t="s">
        <v>71</v>
      </c>
      <c r="E1" s="1" t="s">
        <v>27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90</v>
      </c>
      <c r="R1" s="3" t="s">
        <v>89</v>
      </c>
      <c r="S1" s="1" t="s">
        <v>116</v>
      </c>
      <c r="T1" s="3" t="s">
        <v>83</v>
      </c>
      <c r="U1" s="1" t="s">
        <v>117</v>
      </c>
      <c r="V1" s="3" t="s">
        <v>118</v>
      </c>
      <c r="W1" s="3" t="s">
        <v>84</v>
      </c>
      <c r="X1" s="3" t="s">
        <v>119</v>
      </c>
      <c r="Y1" s="3" t="s">
        <v>120</v>
      </c>
      <c r="Z1" s="3" t="s">
        <v>86</v>
      </c>
      <c r="AA1" s="3" t="s">
        <v>121</v>
      </c>
      <c r="AB1" s="3" t="s">
        <v>87</v>
      </c>
      <c r="AC1" s="3" t="s">
        <v>122</v>
      </c>
      <c r="AD1" s="11" t="s">
        <v>91</v>
      </c>
      <c r="AE1" s="1" t="s">
        <v>123</v>
      </c>
    </row>
    <row r="2" spans="1:31" x14ac:dyDescent="0.25">
      <c r="A2" s="63">
        <v>46113</v>
      </c>
      <c r="R2" s="3" t="e">
        <f>MIN(MAX(IF(Антропометрия[Пол]=Справочник!$C$2,86.01*LOG10(Антропометрия[Талия, см] - Антропометрия[Шея, см]) - 70.041*LOG10(Антропометрия[Рост, см]) + 36.76,163.205*LOG10(Антропометрия[Талия, см] + Антропометрия[Бедра, см] - Антропометрия[Шея, см]) - 97.684*LOG10(Антропометрия[Рост, см]) - 78.387), 5), 50)</f>
        <v>#NUM!</v>
      </c>
      <c r="S2" s="3" t="str">
        <f>IFERROR(VLOOKUP(IF(Антропометрия[% жира (весы)]&lt;&gt;"",Антропометрия[% жира (весы)],Антропометрия[% жира, Формула Navy]), Справочник!$T$3:$V$6,3,TRUE), "Вне диапазона")</f>
        <v>Вне диапазона</v>
      </c>
      <c r="T2" s="3" t="e">
        <f>Антропометрия[Вес, кг]*(100-Антропометрия[% жира, Формула Navy])/100</f>
        <v>#NUM!</v>
      </c>
      <c r="U2" s="3" t="e">
        <f>VLOOKUP(Антропометрия[Мышечная масса, кг], Справочник!$X$3:$Z$5, 3, TRUE)</f>
        <v>#NUM!</v>
      </c>
      <c r="V2" s="3" t="e">
        <f>MIN(20, MAX(0, ( Антропометрия[Талия, см] / Антропометрия[Рост, см] - 0.4 ) * 50 ))</f>
        <v>#DIV/0!</v>
      </c>
      <c r="W2" s="3" t="e">
        <f>VLOOKUP(Антропометрия[Висцеральный жир (рассчет)], Справочник!$AB$3:$AD$5, 3, TRUE)</f>
        <v>#DIV/0!</v>
      </c>
      <c r="X2" s="3">
        <f>IF(Антропометрия[Пол]=Справочник!$C$2, Антропометрия[Вес, кг] * 0.04, Антропометрия[Вес, кг] * 0.03)</f>
        <v>0</v>
      </c>
      <c r="Y2" s="3" t="str">
        <f>VLOOKUP(Антропометрия[Костная масса, кг (рассчет)], Справочник!$AF$3:$AH$5, 3, TRUE)</f>
        <v>Недостаток</v>
      </c>
      <c r="Z2" s="3" t="e">
        <f>Антропометрия[[#This Row],[Вес, кг]]/((Антропометрия[[#This Row],[Рост, см]]/100)^2)</f>
        <v>#DIV/0!</v>
      </c>
      <c r="AA2" s="3" t="e">
        <f>VLOOKUP(Антропометрия[ИМТ (расчёт)], Справочник!$AJ$3:$AL$5, 3, TRUE)</f>
        <v>#DIV/0!</v>
      </c>
      <c r="AB2" s="3">
        <f>10*Антропометрия[[#This Row],[Вес, кг]]+6.25*Антропометрия[[#This Row],[Рост, см]]-5*Антропометрия[[#This Row],[Возраст, лет]]+IF(Антропометрия[[#This Row],[Пол]]=Справочник!$C$2,5,-161)</f>
        <v>-161</v>
      </c>
      <c r="AC2" s="3" t="e">
        <f>VLOOKUP(Антропометрия[BMR (расчёт)], Справочник!$AN$3:$AP$5, 3, TRUE)</f>
        <v>#N/A</v>
      </c>
      <c r="AD2" s="66"/>
      <c r="AE2" s="3" t="str">
        <f>IF(Антропометрия[BMR (с весов)]&lt;&gt;"",VLOOKUP(Антропометрия[BMR (с весов)], Справочник!$AN$3:$AP$5, 3, TRUE),"")</f>
        <v/>
      </c>
    </row>
  </sheetData>
  <dataValidations count="1">
    <dataValidation type="list" allowBlank="1" showInputMessage="1" showErrorMessage="1" sqref="E2">
      <formula1>Пол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"/>
  <sheetViews>
    <sheetView zoomScale="70" zoomScaleNormal="70" workbookViewId="0">
      <selection activeCell="F5" sqref="F5"/>
    </sheetView>
  </sheetViews>
  <sheetFormatPr defaultRowHeight="15" x14ac:dyDescent="0.25"/>
  <cols>
    <col min="1" max="1" width="10.7109375" style="65" bestFit="1" customWidth="1"/>
    <col min="2" max="2" width="9.140625" style="18"/>
    <col min="3" max="3" width="10.140625" style="18" customWidth="1"/>
    <col min="4" max="4" width="9.28515625" style="18" bestFit="1" customWidth="1"/>
    <col min="5" max="5" width="42.85546875" style="19" customWidth="1"/>
    <col min="6" max="6" width="37.140625" style="19" bestFit="1" customWidth="1"/>
    <col min="7" max="7" width="16.42578125" style="23" bestFit="1" customWidth="1"/>
    <col min="8" max="8" width="15.42578125" style="23" bestFit="1" customWidth="1"/>
    <col min="9" max="9" width="16.5703125" style="23" bestFit="1" customWidth="1"/>
    <col min="10" max="10" width="14" style="23" bestFit="1" customWidth="1"/>
    <col min="11" max="11" width="15.5703125" style="23" bestFit="1" customWidth="1"/>
    <col min="12" max="12" width="18.5703125" style="23" bestFit="1" customWidth="1"/>
    <col min="13" max="13" width="20.5703125" style="23" bestFit="1" customWidth="1"/>
    <col min="14" max="14" width="15.85546875" style="17" bestFit="1" customWidth="1"/>
    <col min="15" max="15" width="9.140625" style="18"/>
    <col min="16" max="16" width="12.85546875" style="18" bestFit="1" customWidth="1"/>
    <col min="17" max="17" width="14.140625" style="18" bestFit="1" customWidth="1"/>
    <col min="18" max="18" width="13.7109375" style="17" bestFit="1" customWidth="1"/>
    <col min="19" max="19" width="14.5703125" style="17" bestFit="1" customWidth="1"/>
    <col min="20" max="20" width="14.5703125" style="21" bestFit="1" customWidth="1"/>
    <col min="21" max="21" width="13.7109375" style="21" bestFit="1" customWidth="1"/>
    <col min="22" max="22" width="15.85546875" style="17" bestFit="1" customWidth="1"/>
    <col min="23" max="23" width="17.140625" style="17" bestFit="1" customWidth="1"/>
    <col min="24" max="24" width="14" bestFit="1" customWidth="1"/>
  </cols>
  <sheetData>
    <row r="1" spans="1:24" ht="30" x14ac:dyDescent="0.25">
      <c r="A1" s="65" t="s">
        <v>68</v>
      </c>
      <c r="B1" s="17" t="s">
        <v>8</v>
      </c>
      <c r="C1" s="18" t="s">
        <v>25</v>
      </c>
      <c r="D1" s="18" t="s">
        <v>26</v>
      </c>
      <c r="E1" s="18" t="s">
        <v>27</v>
      </c>
      <c r="F1" s="19" t="s">
        <v>28</v>
      </c>
      <c r="G1" s="19" t="s">
        <v>29</v>
      </c>
      <c r="H1" s="23" t="s">
        <v>64</v>
      </c>
      <c r="I1" s="23" t="s">
        <v>41</v>
      </c>
      <c r="J1" s="23" t="s">
        <v>42</v>
      </c>
      <c r="K1" s="23" t="s">
        <v>39</v>
      </c>
      <c r="L1" s="23" t="s">
        <v>40</v>
      </c>
      <c r="M1" s="23" t="s">
        <v>43</v>
      </c>
      <c r="N1" s="23" t="s">
        <v>44</v>
      </c>
      <c r="O1" s="17" t="s">
        <v>32</v>
      </c>
      <c r="P1" s="18" t="s">
        <v>31</v>
      </c>
      <c r="Q1" s="17" t="s">
        <v>33</v>
      </c>
      <c r="R1" s="17" t="s">
        <v>34</v>
      </c>
      <c r="S1" s="21" t="s">
        <v>36</v>
      </c>
      <c r="T1" s="21" t="s">
        <v>35</v>
      </c>
      <c r="U1" s="22" t="s">
        <v>38</v>
      </c>
      <c r="V1" s="22" t="s">
        <v>37</v>
      </c>
      <c r="W1" s="18" t="s">
        <v>66</v>
      </c>
      <c r="X1" s="18" t="s">
        <v>67</v>
      </c>
    </row>
    <row r="2" spans="1:24" ht="17.25" x14ac:dyDescent="0.3">
      <c r="A2" s="65">
        <v>46113</v>
      </c>
      <c r="B2" s="17">
        <f>INDEX(Антропометрия!B:B, MATCH(Таблица4[[#This Row],[Дата]], Антропометрия!$A:$A, 0))</f>
        <v>0</v>
      </c>
      <c r="C2" s="18">
        <f>INDEX(Антропометрия!C:C, MATCH(Таблица4[[#This Row],[Дата]], Антропометрия!$A:$A, 0))</f>
        <v>0</v>
      </c>
      <c r="D2" s="18">
        <f>VLOOKUP(Таблица4[[#This Row],[Дата]], Антропометрия!$A:$Z, 4, 0)</f>
        <v>0</v>
      </c>
      <c r="E2" s="18">
        <f>VLOOKUP(Таблица4[[#This Row],[Дата]], Антропометрия!$A:$Z, 5, 0)</f>
        <v>0</v>
      </c>
      <c r="F2" s="20"/>
      <c r="G2" s="25"/>
      <c r="H2" s="24" t="e">
        <f>VLOOKUP(Таблица4[[#This Row],[Активность]], Справочник!$E$2:$F$7, 2, 0)</f>
        <v>#N/A</v>
      </c>
      <c r="I2" s="24" t="e">
        <f>VLOOKUP(Таблица4[[#This Row],[Активность]], Справочник!$H$2:$J$7, 2, 0)</f>
        <v>#N/A</v>
      </c>
      <c r="J2" s="24" t="e">
        <f>VLOOKUP(Таблица4[[#This Row],[Активность]], Справочник!$H$2:$J$7, 3, 0)</f>
        <v>#N/A</v>
      </c>
      <c r="K2" s="24" t="e">
        <f>VLOOKUP(Таблица4[[#This Row],[Цель]], Справочник!$L$2:$N$5, 2, 0)</f>
        <v>#N/A</v>
      </c>
      <c r="L2" s="24" t="e">
        <f>VLOOKUP(Таблица4[[#This Row],[Цель]], Справочник!$L$2:$N$5, 3, 0)</f>
        <v>#N/A</v>
      </c>
      <c r="M2" s="24" t="e">
        <f>VLOOKUP(Таблица4[[#This Row],[Цель]], Справочник!$P$2:$R$5, 2, 0)</f>
        <v>#N/A</v>
      </c>
      <c r="N2" s="24" t="e">
        <f>VLOOKUP(Таблица4[[#This Row],[Цель]], Справочник!$P$2:$R$5, 3, 0)</f>
        <v>#N/A</v>
      </c>
      <c r="O2" s="17">
        <f>10*Таблица4[Вес]+6.25*Таблица4[Рост]-5*Таблица4[Возраст]+IF(Таблица4[[#This Row],[Пол]]=Справочник!$C$2,5,-161)</f>
        <v>-161</v>
      </c>
      <c r="P2" s="18" t="e">
        <f>Таблица4[BMR]*Таблица4[TDEE коэфф.]</f>
        <v>#N/A</v>
      </c>
      <c r="Q2" s="17" t="e">
        <f>Таблица4[Вес]*Таблица4[Коэф белки низ]</f>
        <v>#N/A</v>
      </c>
      <c r="R2" s="17" t="e">
        <f>Таблица4[Вес]*Таблица4[Коэф белки верх]</f>
        <v>#N/A</v>
      </c>
      <c r="S2" s="18" t="e">
        <f>Таблица4[Вес]*Таблица4[Коэф.Жир низ]</f>
        <v>#N/A</v>
      </c>
      <c r="T2" s="18" t="e">
        <f>Таблица4[Вес]*Таблица4[Коэф. Жир верх]</f>
        <v>#N/A</v>
      </c>
      <c r="U2" s="17" t="e">
        <f>(Таблица4[Калории мин]-(Таблица4[Белки верх]*4+Таблица4[Жиры верх]*9))/4</f>
        <v>#N/A</v>
      </c>
      <c r="V2" s="17" t="e">
        <f>(Таблица4[Калории макс]-(Таблица4[Белки низ]*4+Таблица4[Жиры низ]*9))/4</f>
        <v>#N/A</v>
      </c>
      <c r="W2" s="18" t="e">
        <f>Таблица4[TDEE]-Таблица4[Коэф дифицита верх]</f>
        <v>#N/A</v>
      </c>
      <c r="X2" s="18" t="e">
        <f>Таблица4[TDEE]-Таблица4[Кэф дифицита низ]</f>
        <v>#N/A</v>
      </c>
    </row>
    <row r="3" spans="1:24" ht="17.25" x14ac:dyDescent="0.3">
      <c r="A3" s="65">
        <v>46113</v>
      </c>
      <c r="B3" s="17">
        <f>INDEX(Антропометрия!B:B, MATCH(Таблица4[[#This Row],[Дата]], Антропометрия!$A:$A, 0))</f>
        <v>0</v>
      </c>
      <c r="C3" s="18">
        <f>INDEX(Антропометрия!C:C, MATCH(Таблица4[[#This Row],[Дата]], Антропометрия!$A:$A, 0))</f>
        <v>0</v>
      </c>
      <c r="D3" s="18">
        <f>VLOOKUP(Таблица4[[#This Row],[Дата]], Антропометрия!$A:$Z, 4, 0)</f>
        <v>0</v>
      </c>
      <c r="E3" s="18">
        <f>VLOOKUP(Таблица4[[#This Row],[Дата]], Антропометрия!$A:$Z, 5, 0)</f>
        <v>0</v>
      </c>
      <c r="F3" s="20"/>
      <c r="G3" s="25"/>
      <c r="H3" s="24" t="e">
        <f>VLOOKUP(Таблица4[[#This Row],[Активность]], Справочник!$E$2:$F$7, 2, 0)</f>
        <v>#N/A</v>
      </c>
      <c r="I3" s="24" t="e">
        <f>VLOOKUP(Таблица4[[#This Row],[Активность]], Справочник!$H$2:$J$7, 2, 0)</f>
        <v>#N/A</v>
      </c>
      <c r="J3" s="24" t="e">
        <f>VLOOKUP(Таблица4[[#This Row],[Активность]], Справочник!$H$2:$J$7, 3, 0)</f>
        <v>#N/A</v>
      </c>
      <c r="K3" s="24" t="e">
        <f>VLOOKUP(Таблица4[[#This Row],[Цель]], Справочник!$L$2:$N$5, 2, 0)</f>
        <v>#N/A</v>
      </c>
      <c r="L3" s="24" t="e">
        <f>VLOOKUP(Таблица4[[#This Row],[Цель]], Справочник!$L$2:$N$5, 3, 0)</f>
        <v>#N/A</v>
      </c>
      <c r="M3" s="24" t="e">
        <f>VLOOKUP(Таблица4[[#This Row],[Цель]], Справочник!$P$2:$R$5, 2, 0)</f>
        <v>#N/A</v>
      </c>
      <c r="N3" s="24" t="e">
        <f>VLOOKUP(Таблица4[[#This Row],[Цель]], Справочник!$P$2:$R$5, 3, 0)</f>
        <v>#N/A</v>
      </c>
      <c r="O3" s="17">
        <f>10*Таблица4[Вес]+6.25*Таблица4[Рост]-5*Таблица4[Возраст]+IF(Таблица4[[#This Row],[Пол]]=Справочник!$C$2,5,-161)</f>
        <v>-161</v>
      </c>
      <c r="P3" s="18" t="e">
        <f>Таблица4[BMR]*Таблица4[TDEE коэфф.]</f>
        <v>#N/A</v>
      </c>
      <c r="Q3" s="17" t="e">
        <f>Таблица4[Вес]*Таблица4[Коэф белки низ]</f>
        <v>#N/A</v>
      </c>
      <c r="R3" s="17" t="e">
        <f>Таблица4[Вес]*Таблица4[Коэф белки верх]</f>
        <v>#N/A</v>
      </c>
      <c r="S3" s="18" t="e">
        <f>Таблица4[Вес]*Таблица4[Коэф.Жир низ]</f>
        <v>#N/A</v>
      </c>
      <c r="T3" s="18" t="e">
        <f>Таблица4[Вес]*Таблица4[Коэф. Жир верх]</f>
        <v>#N/A</v>
      </c>
      <c r="U3" s="17" t="e">
        <f>(Таблица4[Калории мин]-(Таблица4[Белки верх]*4+Таблица4[Жиры верх]*9))/4</f>
        <v>#N/A</v>
      </c>
      <c r="V3" s="17" t="e">
        <f>(Таблица4[Калории макс]-(Таблица4[Белки низ]*4+Таблица4[Жиры низ]*9))/4</f>
        <v>#N/A</v>
      </c>
      <c r="W3" s="18" t="e">
        <f>Таблица4[TDEE]-Таблица4[Коэф дифицита верх]</f>
        <v>#N/A</v>
      </c>
      <c r="X3" s="18" t="e">
        <f>Таблица4[TDEE]-Таблица4[Кэф дифицита низ]</f>
        <v>#N/A</v>
      </c>
    </row>
  </sheetData>
  <dataValidations count="3">
    <dataValidation type="list" allowBlank="1" showInputMessage="1" showErrorMessage="1" sqref="F2:F3">
      <formula1>ТДЕАктивность</formula1>
    </dataValidation>
    <dataValidation type="list" allowBlank="1" showInputMessage="1" showErrorMessage="1" sqref="G2:G3">
      <formula1>Цель</formula1>
    </dataValidation>
    <dataValidation type="list" allowBlank="1" showInputMessage="1" showErrorMessage="1" sqref="A2:A3">
      <formula1>СписокДат</formula1>
    </dataValidation>
  </dataValidations>
  <pageMargins left="0.7" right="0.7" top="0.75" bottom="0.75" header="0.3" footer="0.3"/>
  <pageSetup paperSize="9" scale="37" fitToHeight="0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workbookViewId="0">
      <pane ySplit="1" topLeftCell="A2" activePane="bottomLeft" state="frozen"/>
      <selection pane="bottomLeft" activeCell="A3" sqref="A3"/>
    </sheetView>
  </sheetViews>
  <sheetFormatPr defaultRowHeight="15.75" x14ac:dyDescent="0.25"/>
  <cols>
    <col min="1" max="1" width="74.5703125" style="54" customWidth="1"/>
    <col min="2" max="2" width="7.28515625" style="55" bestFit="1" customWidth="1"/>
    <col min="3" max="3" width="8.42578125" style="55" bestFit="1" customWidth="1"/>
    <col min="4" max="4" width="10.5703125" style="55" bestFit="1" customWidth="1"/>
    <col min="5" max="5" width="10.85546875" style="55" bestFit="1" customWidth="1"/>
    <col min="6" max="6" width="18.85546875" style="55" bestFit="1" customWidth="1"/>
    <col min="7" max="7" width="14" style="53" bestFit="1" customWidth="1"/>
    <col min="8" max="8" width="7.5703125" style="53" bestFit="1" customWidth="1"/>
    <col min="9" max="16384" width="9.140625" style="2"/>
  </cols>
  <sheetData>
    <row r="1" spans="1:8" s="1" customFormat="1" x14ac:dyDescent="0.25">
      <c r="A1" s="8" t="s">
        <v>1</v>
      </c>
      <c r="B1" s="5" t="s">
        <v>0</v>
      </c>
      <c r="C1" s="5" t="s">
        <v>2</v>
      </c>
      <c r="D1" s="5" t="s">
        <v>3</v>
      </c>
      <c r="E1" s="5" t="s">
        <v>5</v>
      </c>
      <c r="F1" s="5" t="s">
        <v>7</v>
      </c>
      <c r="G1" s="7" t="s">
        <v>4</v>
      </c>
      <c r="H1" s="56" t="s">
        <v>11</v>
      </c>
    </row>
    <row r="2" spans="1:8" x14ac:dyDescent="0.25">
      <c r="A2" s="57" t="s">
        <v>9</v>
      </c>
      <c r="B2" s="58">
        <v>0</v>
      </c>
      <c r="C2" s="59">
        <v>0</v>
      </c>
      <c r="D2" s="59">
        <v>0</v>
      </c>
      <c r="E2" s="59">
        <v>0</v>
      </c>
      <c r="F2" s="59">
        <v>0</v>
      </c>
      <c r="G2" s="61">
        <v>0</v>
      </c>
      <c r="H2" s="53">
        <v>0</v>
      </c>
    </row>
    <row r="3" spans="1:8" ht="15.75" customHeight="1" x14ac:dyDescent="0.25">
      <c r="A3" s="50"/>
      <c r="B3" s="52"/>
      <c r="C3" s="60"/>
      <c r="D3" s="60"/>
      <c r="E3" s="60"/>
      <c r="F3" s="60"/>
      <c r="G3" s="62"/>
    </row>
    <row r="4" spans="1:8" x14ac:dyDescent="0.25">
      <c r="A4" s="50"/>
      <c r="B4" s="52"/>
      <c r="C4" s="60"/>
      <c r="D4" s="60"/>
      <c r="E4" s="60"/>
      <c r="F4" s="60"/>
      <c r="G4" s="62"/>
    </row>
    <row r="5" spans="1:8" x14ac:dyDescent="0.25">
      <c r="A5" s="50"/>
      <c r="B5" s="52"/>
      <c r="C5" s="60"/>
      <c r="D5" s="60"/>
      <c r="E5" s="60"/>
      <c r="F5" s="60"/>
      <c r="G5" s="62"/>
    </row>
    <row r="6" spans="1:8" x14ac:dyDescent="0.25">
      <c r="A6" s="50"/>
      <c r="B6" s="52"/>
      <c r="C6" s="60"/>
      <c r="D6" s="60"/>
      <c r="E6" s="60"/>
      <c r="F6" s="60"/>
      <c r="G6" s="62"/>
    </row>
    <row r="7" spans="1:8" x14ac:dyDescent="0.25">
      <c r="A7" s="50"/>
      <c r="B7" s="52"/>
      <c r="C7" s="60"/>
      <c r="D7" s="60"/>
      <c r="E7" s="60"/>
      <c r="F7" s="60"/>
      <c r="G7" s="62"/>
    </row>
    <row r="8" spans="1:8" x14ac:dyDescent="0.25">
      <c r="A8" s="50"/>
      <c r="B8" s="52"/>
      <c r="C8" s="60"/>
      <c r="D8" s="60"/>
      <c r="E8" s="60"/>
      <c r="F8" s="60"/>
      <c r="G8" s="62"/>
    </row>
    <row r="9" spans="1:8" x14ac:dyDescent="0.25">
      <c r="A9" s="50"/>
      <c r="B9" s="52"/>
      <c r="C9" s="60"/>
      <c r="D9" s="60"/>
      <c r="E9" s="60"/>
      <c r="F9" s="60"/>
      <c r="G9" s="62"/>
    </row>
    <row r="10" spans="1:8" x14ac:dyDescent="0.25">
      <c r="A10" s="50"/>
      <c r="B10" s="52"/>
      <c r="C10" s="60"/>
      <c r="D10" s="60"/>
      <c r="E10" s="60"/>
      <c r="F10" s="60"/>
      <c r="G10" s="62"/>
    </row>
    <row r="11" spans="1:8" x14ac:dyDescent="0.25">
      <c r="A11" s="50"/>
      <c r="B11" s="52"/>
      <c r="C11" s="60"/>
      <c r="D11" s="60"/>
      <c r="E11" s="60"/>
      <c r="F11" s="60"/>
      <c r="G11" s="62"/>
    </row>
    <row r="12" spans="1:8" x14ac:dyDescent="0.25">
      <c r="A12" s="50"/>
      <c r="B12" s="52"/>
      <c r="C12" s="60"/>
      <c r="D12" s="60"/>
      <c r="E12" s="60"/>
      <c r="F12" s="60"/>
      <c r="G12" s="62"/>
    </row>
    <row r="13" spans="1:8" x14ac:dyDescent="0.25">
      <c r="A13" s="50"/>
      <c r="B13" s="52"/>
      <c r="C13" s="60"/>
      <c r="D13" s="60"/>
      <c r="E13" s="60"/>
      <c r="F13" s="60"/>
      <c r="G13" s="62"/>
    </row>
    <row r="14" spans="1:8" x14ac:dyDescent="0.25">
      <c r="A14" s="50"/>
      <c r="B14" s="52"/>
      <c r="C14" s="60"/>
      <c r="D14" s="60"/>
      <c r="E14" s="60"/>
      <c r="F14" s="60"/>
      <c r="G14" s="62"/>
    </row>
    <row r="15" spans="1:8" x14ac:dyDescent="0.25">
      <c r="A15" s="50"/>
      <c r="B15" s="52"/>
      <c r="C15" s="60"/>
      <c r="D15" s="60"/>
      <c r="E15" s="60"/>
      <c r="F15" s="60"/>
      <c r="G15" s="62"/>
    </row>
    <row r="16" spans="1:8" x14ac:dyDescent="0.25">
      <c r="A16" s="50"/>
      <c r="B16" s="52"/>
      <c r="C16" s="60"/>
      <c r="D16" s="60"/>
      <c r="E16" s="60"/>
      <c r="F16" s="60"/>
      <c r="G16" s="62"/>
    </row>
    <row r="17" spans="1:7" x14ac:dyDescent="0.25">
      <c r="A17" s="50"/>
      <c r="B17" s="52"/>
      <c r="C17" s="60"/>
      <c r="D17" s="60"/>
      <c r="E17" s="60"/>
      <c r="F17" s="60"/>
      <c r="G17" s="62"/>
    </row>
    <row r="18" spans="1:7" x14ac:dyDescent="0.25">
      <c r="A18" s="50"/>
      <c r="B18" s="52"/>
      <c r="C18" s="60"/>
      <c r="D18" s="60"/>
      <c r="E18" s="60"/>
      <c r="F18" s="60"/>
      <c r="G18" s="62"/>
    </row>
    <row r="19" spans="1:7" x14ac:dyDescent="0.25">
      <c r="A19" s="50"/>
      <c r="B19" s="52"/>
      <c r="C19" s="60"/>
      <c r="D19" s="60"/>
      <c r="E19" s="60"/>
      <c r="F19" s="60"/>
      <c r="G19" s="62"/>
    </row>
    <row r="20" spans="1:7" x14ac:dyDescent="0.25">
      <c r="A20" s="51"/>
      <c r="B20" s="52"/>
      <c r="C20" s="60"/>
      <c r="D20" s="60"/>
      <c r="E20" s="60"/>
      <c r="F20" s="60"/>
      <c r="G20" s="62"/>
    </row>
    <row r="21" spans="1:7" x14ac:dyDescent="0.25">
      <c r="A21" s="50"/>
      <c r="B21" s="52"/>
      <c r="C21" s="60"/>
      <c r="D21" s="60"/>
      <c r="E21" s="60"/>
      <c r="F21" s="60"/>
      <c r="G21" s="62"/>
    </row>
    <row r="22" spans="1:7" x14ac:dyDescent="0.25">
      <c r="A22" s="50"/>
      <c r="B22" s="52"/>
      <c r="C22" s="60"/>
      <c r="D22" s="60"/>
      <c r="E22" s="60"/>
      <c r="F22" s="60"/>
      <c r="G22" s="62"/>
    </row>
    <row r="23" spans="1:7" x14ac:dyDescent="0.25">
      <c r="A23" s="50"/>
      <c r="B23" s="52"/>
      <c r="C23" s="60"/>
      <c r="D23" s="60"/>
      <c r="E23" s="60"/>
      <c r="F23" s="60"/>
      <c r="G23" s="62"/>
    </row>
    <row r="24" spans="1:7" x14ac:dyDescent="0.25">
      <c r="A24" s="50"/>
      <c r="B24" s="52"/>
      <c r="C24" s="60"/>
      <c r="D24" s="60"/>
      <c r="F24" s="60"/>
      <c r="G24" s="62"/>
    </row>
    <row r="25" spans="1:7" x14ac:dyDescent="0.25">
      <c r="A25" s="50"/>
      <c r="B25" s="52"/>
      <c r="C25" s="60"/>
      <c r="D25" s="60"/>
      <c r="E25" s="60"/>
      <c r="F25" s="60"/>
      <c r="G25" s="62"/>
    </row>
    <row r="26" spans="1:7" x14ac:dyDescent="0.25">
      <c r="A26" s="50"/>
      <c r="B26" s="52"/>
      <c r="C26" s="60"/>
      <c r="D26" s="60"/>
      <c r="E26" s="60"/>
      <c r="F26" s="60"/>
      <c r="G26" s="62"/>
    </row>
    <row r="27" spans="1:7" x14ac:dyDescent="0.25">
      <c r="A27" s="50"/>
      <c r="B27" s="52"/>
      <c r="C27" s="60"/>
      <c r="D27" s="60"/>
      <c r="E27" s="60"/>
      <c r="F27" s="60"/>
      <c r="G27" s="62"/>
    </row>
    <row r="28" spans="1:7" x14ac:dyDescent="0.25">
      <c r="A28" s="50"/>
      <c r="B28" s="52"/>
      <c r="C28" s="60"/>
      <c r="D28" s="60"/>
      <c r="E28" s="60"/>
      <c r="F28" s="60"/>
      <c r="G28" s="62"/>
    </row>
    <row r="29" spans="1:7" x14ac:dyDescent="0.25">
      <c r="A29" s="50"/>
      <c r="B29" s="52"/>
      <c r="C29" s="60"/>
      <c r="D29" s="60"/>
      <c r="E29" s="60"/>
      <c r="F29" s="60"/>
      <c r="G29" s="62"/>
    </row>
    <row r="30" spans="1:7" x14ac:dyDescent="0.25">
      <c r="A30" s="50"/>
      <c r="B30" s="52"/>
      <c r="C30" s="60"/>
      <c r="D30" s="60"/>
      <c r="E30" s="60"/>
      <c r="F30" s="60"/>
      <c r="G30" s="62"/>
    </row>
    <row r="31" spans="1:7" x14ac:dyDescent="0.25">
      <c r="A31" s="50"/>
      <c r="B31" s="52"/>
      <c r="C31" s="60"/>
      <c r="D31" s="60"/>
      <c r="E31" s="60"/>
      <c r="F31" s="60"/>
      <c r="G31" s="62"/>
    </row>
    <row r="32" spans="1:7" x14ac:dyDescent="0.25">
      <c r="A32" s="50"/>
      <c r="B32" s="52"/>
      <c r="C32" s="60"/>
      <c r="D32" s="60"/>
      <c r="E32" s="60"/>
      <c r="F32" s="60"/>
      <c r="G32" s="62"/>
    </row>
    <row r="33" spans="1:7" x14ac:dyDescent="0.25">
      <c r="A33" s="50"/>
      <c r="B33" s="52"/>
      <c r="C33" s="60"/>
      <c r="D33" s="60"/>
      <c r="E33" s="60"/>
      <c r="F33" s="60"/>
      <c r="G33" s="62"/>
    </row>
    <row r="34" spans="1:7" x14ac:dyDescent="0.25">
      <c r="A34" s="50"/>
      <c r="B34" s="52"/>
      <c r="C34" s="60"/>
      <c r="D34" s="60"/>
      <c r="E34" s="60"/>
      <c r="F34" s="60"/>
      <c r="G34" s="62"/>
    </row>
    <row r="35" spans="1:7" x14ac:dyDescent="0.25">
      <c r="A35" s="50"/>
      <c r="B35" s="52"/>
      <c r="C35" s="60"/>
      <c r="D35" s="60"/>
      <c r="E35" s="60"/>
      <c r="F35" s="60"/>
      <c r="G35" s="62"/>
    </row>
    <row r="36" spans="1:7" x14ac:dyDescent="0.25">
      <c r="A36" s="50"/>
      <c r="B36" s="52"/>
      <c r="C36" s="60"/>
      <c r="D36" s="60"/>
      <c r="E36" s="60"/>
      <c r="F36" s="60"/>
      <c r="G36" s="62"/>
    </row>
    <row r="37" spans="1:7" x14ac:dyDescent="0.25">
      <c r="A37" s="50"/>
      <c r="B37" s="52"/>
      <c r="C37" s="60"/>
      <c r="D37" s="60"/>
      <c r="E37" s="60"/>
      <c r="F37" s="60"/>
      <c r="G37" s="62"/>
    </row>
    <row r="38" spans="1:7" x14ac:dyDescent="0.25">
      <c r="A38" s="50"/>
      <c r="B38" s="52"/>
      <c r="C38" s="60"/>
      <c r="D38" s="60"/>
      <c r="E38" s="60"/>
      <c r="F38" s="60"/>
      <c r="G38" s="62"/>
    </row>
    <row r="39" spans="1:7" x14ac:dyDescent="0.25">
      <c r="A39" s="50"/>
      <c r="B39" s="52"/>
      <c r="C39" s="60"/>
      <c r="D39" s="60"/>
      <c r="E39" s="60"/>
      <c r="F39" s="60"/>
      <c r="G39" s="62"/>
    </row>
    <row r="40" spans="1:7" x14ac:dyDescent="0.25">
      <c r="A40" s="50"/>
      <c r="B40" s="52"/>
      <c r="C40" s="60"/>
      <c r="D40" s="60"/>
      <c r="E40" s="60"/>
      <c r="F40" s="60"/>
      <c r="G40" s="62"/>
    </row>
    <row r="41" spans="1:7" x14ac:dyDescent="0.25">
      <c r="A41" s="50"/>
      <c r="B41" s="52"/>
      <c r="C41" s="60"/>
      <c r="D41" s="60"/>
      <c r="E41" s="60"/>
      <c r="F41" s="60"/>
      <c r="G41" s="62"/>
    </row>
    <row r="42" spans="1:7" x14ac:dyDescent="0.25">
      <c r="A42" s="50"/>
      <c r="B42" s="52"/>
      <c r="C42" s="60"/>
      <c r="D42" s="60"/>
      <c r="E42" s="60"/>
      <c r="F42" s="60"/>
      <c r="G42" s="62"/>
    </row>
    <row r="43" spans="1:7" x14ac:dyDescent="0.25">
      <c r="A43" s="50"/>
      <c r="B43" s="52"/>
      <c r="C43" s="60"/>
      <c r="D43" s="60"/>
      <c r="E43" s="60"/>
      <c r="F43" s="60"/>
      <c r="G43" s="62"/>
    </row>
    <row r="44" spans="1:7" x14ac:dyDescent="0.25">
      <c r="A44" s="50"/>
      <c r="B44" s="52"/>
      <c r="C44" s="60"/>
      <c r="D44" s="60"/>
      <c r="E44" s="60"/>
      <c r="F44" s="60"/>
      <c r="G44" s="62"/>
    </row>
    <row r="45" spans="1:7" x14ac:dyDescent="0.25">
      <c r="A45" s="50"/>
      <c r="B45" s="52"/>
      <c r="C45" s="60"/>
      <c r="D45" s="60"/>
      <c r="E45" s="60"/>
      <c r="F45" s="60"/>
      <c r="G45" s="62"/>
    </row>
    <row r="46" spans="1:7" x14ac:dyDescent="0.25">
      <c r="A46" s="50"/>
      <c r="B46" s="52"/>
      <c r="C46" s="60"/>
      <c r="D46" s="60"/>
      <c r="E46" s="60"/>
      <c r="F46" s="60"/>
      <c r="G46" s="62"/>
    </row>
    <row r="47" spans="1:7" x14ac:dyDescent="0.25">
      <c r="A47" s="50"/>
      <c r="B47" s="52"/>
      <c r="C47" s="60"/>
      <c r="D47" s="60"/>
      <c r="E47" s="60"/>
      <c r="F47" s="60"/>
      <c r="G47" s="62"/>
    </row>
    <row r="48" spans="1:7" x14ac:dyDescent="0.25">
      <c r="A48" s="50"/>
      <c r="B48" s="52"/>
      <c r="C48" s="60"/>
      <c r="D48" s="60"/>
      <c r="E48" s="60"/>
      <c r="F48" s="60"/>
      <c r="G48" s="62"/>
    </row>
    <row r="49" spans="1:7" x14ac:dyDescent="0.25">
      <c r="A49" s="50"/>
      <c r="B49" s="52"/>
      <c r="C49" s="60"/>
      <c r="D49" s="60"/>
      <c r="E49" s="60"/>
      <c r="F49" s="60"/>
      <c r="G49" s="62"/>
    </row>
    <row r="50" spans="1:7" x14ac:dyDescent="0.25">
      <c r="A50" s="50"/>
      <c r="B50" s="52"/>
      <c r="C50" s="60"/>
      <c r="D50" s="60"/>
      <c r="E50" s="60"/>
      <c r="F50" s="60"/>
      <c r="G50" s="62"/>
    </row>
    <row r="51" spans="1:7" x14ac:dyDescent="0.25">
      <c r="A51" s="50"/>
      <c r="B51" s="52"/>
      <c r="C51" s="60"/>
      <c r="D51" s="60"/>
      <c r="E51" s="60"/>
      <c r="F51" s="60"/>
      <c r="G51" s="62"/>
    </row>
    <row r="52" spans="1:7" x14ac:dyDescent="0.25">
      <c r="A52" s="50"/>
      <c r="B52" s="52"/>
      <c r="C52" s="60"/>
      <c r="D52" s="60"/>
      <c r="E52" s="60"/>
      <c r="F52" s="60"/>
      <c r="G52" s="62"/>
    </row>
    <row r="53" spans="1:7" x14ac:dyDescent="0.25">
      <c r="A53" s="50"/>
      <c r="B53" s="52"/>
      <c r="C53" s="60"/>
      <c r="D53" s="60"/>
      <c r="E53" s="60"/>
      <c r="F53" s="60"/>
      <c r="G53" s="62"/>
    </row>
    <row r="54" spans="1:7" x14ac:dyDescent="0.25">
      <c r="A54" s="50"/>
      <c r="B54" s="52"/>
      <c r="C54" s="60"/>
      <c r="D54" s="60"/>
      <c r="E54" s="60"/>
      <c r="F54" s="60"/>
      <c r="G54" s="62"/>
    </row>
    <row r="55" spans="1:7" x14ac:dyDescent="0.25">
      <c r="A55" s="50"/>
      <c r="B55" s="52"/>
      <c r="C55" s="60"/>
      <c r="D55" s="60"/>
      <c r="E55" s="60"/>
      <c r="F55" s="60"/>
      <c r="G55" s="62"/>
    </row>
    <row r="56" spans="1:7" x14ac:dyDescent="0.25">
      <c r="A56" s="50"/>
      <c r="B56" s="52"/>
      <c r="C56" s="60"/>
      <c r="D56" s="60"/>
      <c r="E56" s="60"/>
      <c r="F56" s="60"/>
      <c r="G56" s="62"/>
    </row>
    <row r="57" spans="1:7" x14ac:dyDescent="0.25">
      <c r="A57" s="50"/>
      <c r="B57" s="52"/>
      <c r="C57" s="60"/>
      <c r="D57" s="60"/>
      <c r="E57" s="60"/>
      <c r="F57" s="60"/>
      <c r="G57" s="62"/>
    </row>
    <row r="58" spans="1:7" x14ac:dyDescent="0.25">
      <c r="A58" s="50"/>
      <c r="B58" s="52"/>
      <c r="C58" s="60"/>
      <c r="D58" s="60"/>
      <c r="E58" s="60"/>
      <c r="F58" s="60"/>
      <c r="G58" s="62"/>
    </row>
    <row r="59" spans="1:7" x14ac:dyDescent="0.25">
      <c r="A59" s="50"/>
      <c r="B59" s="52"/>
      <c r="C59" s="60"/>
      <c r="D59" s="60"/>
      <c r="E59" s="60"/>
      <c r="F59" s="60"/>
      <c r="G59" s="62"/>
    </row>
    <row r="60" spans="1:7" x14ac:dyDescent="0.25">
      <c r="A60" s="50"/>
      <c r="B60" s="52"/>
      <c r="C60" s="60"/>
      <c r="D60" s="60"/>
      <c r="E60" s="60"/>
      <c r="F60" s="60"/>
      <c r="G60" s="62"/>
    </row>
    <row r="61" spans="1:7" x14ac:dyDescent="0.25">
      <c r="A61" s="50"/>
      <c r="B61" s="52"/>
      <c r="C61" s="60"/>
      <c r="D61" s="60"/>
      <c r="E61" s="60"/>
      <c r="F61" s="60"/>
      <c r="G61" s="62"/>
    </row>
    <row r="62" spans="1:7" x14ac:dyDescent="0.25">
      <c r="A62" s="50"/>
      <c r="B62" s="52"/>
      <c r="C62" s="60"/>
      <c r="D62" s="60"/>
      <c r="E62" s="60"/>
      <c r="F62" s="60"/>
      <c r="G62" s="62"/>
    </row>
    <row r="63" spans="1:7" x14ac:dyDescent="0.25">
      <c r="A63" s="50"/>
      <c r="B63" s="52"/>
      <c r="C63" s="60"/>
      <c r="D63" s="60"/>
      <c r="E63" s="60"/>
      <c r="F63" s="60"/>
      <c r="G63" s="62"/>
    </row>
    <row r="64" spans="1:7" x14ac:dyDescent="0.25">
      <c r="A64" s="50"/>
      <c r="B64" s="52"/>
      <c r="C64" s="60"/>
      <c r="D64" s="60"/>
      <c r="E64" s="60"/>
      <c r="F64" s="60"/>
      <c r="G64" s="62"/>
    </row>
    <row r="65" spans="1:7" x14ac:dyDescent="0.25">
      <c r="A65" s="50"/>
      <c r="B65" s="52"/>
      <c r="C65" s="60"/>
      <c r="D65" s="60"/>
      <c r="E65" s="60"/>
      <c r="F65" s="60"/>
      <c r="G65" s="62"/>
    </row>
    <row r="66" spans="1:7" x14ac:dyDescent="0.25">
      <c r="A66" s="50"/>
      <c r="B66" s="52"/>
      <c r="C66" s="60"/>
      <c r="D66" s="60"/>
      <c r="E66" s="60"/>
      <c r="F66" s="60"/>
      <c r="G66" s="62"/>
    </row>
    <row r="67" spans="1:7" x14ac:dyDescent="0.25">
      <c r="A67" s="50"/>
      <c r="B67" s="52"/>
      <c r="C67" s="60"/>
      <c r="D67" s="60"/>
      <c r="E67" s="60"/>
      <c r="F67" s="60"/>
      <c r="G67" s="62"/>
    </row>
    <row r="68" spans="1:7" x14ac:dyDescent="0.25">
      <c r="A68" s="50"/>
      <c r="B68" s="52"/>
      <c r="C68" s="60"/>
      <c r="D68" s="60"/>
      <c r="E68" s="60"/>
      <c r="F68" s="60"/>
      <c r="G68" s="62"/>
    </row>
    <row r="69" spans="1:7" x14ac:dyDescent="0.25">
      <c r="A69" s="50"/>
      <c r="B69" s="52"/>
      <c r="C69" s="60"/>
      <c r="D69" s="60"/>
      <c r="E69" s="60"/>
      <c r="F69" s="60"/>
      <c r="G69" s="62"/>
    </row>
    <row r="70" spans="1:7" x14ac:dyDescent="0.25">
      <c r="A70" s="50"/>
      <c r="B70" s="52"/>
      <c r="C70" s="60"/>
      <c r="D70" s="60"/>
      <c r="E70" s="60"/>
      <c r="F70" s="60"/>
      <c r="G70" s="62"/>
    </row>
    <row r="71" spans="1:7" x14ac:dyDescent="0.25">
      <c r="A71" s="50"/>
      <c r="B71" s="52"/>
      <c r="C71" s="60"/>
      <c r="D71" s="60"/>
      <c r="E71" s="60"/>
      <c r="F71" s="60"/>
      <c r="G71" s="62"/>
    </row>
    <row r="72" spans="1:7" x14ac:dyDescent="0.25">
      <c r="A72" s="50"/>
      <c r="B72" s="52"/>
      <c r="C72" s="60"/>
      <c r="D72" s="60"/>
      <c r="E72" s="60"/>
      <c r="F72" s="60"/>
      <c r="G72" s="62"/>
    </row>
    <row r="73" spans="1:7" x14ac:dyDescent="0.25">
      <c r="A73" s="50"/>
      <c r="B73" s="52"/>
      <c r="C73" s="60"/>
      <c r="D73" s="60"/>
      <c r="E73" s="60"/>
      <c r="F73" s="60"/>
      <c r="G73" s="62"/>
    </row>
    <row r="74" spans="1:7" x14ac:dyDescent="0.25">
      <c r="A74" s="50"/>
      <c r="B74" s="52"/>
      <c r="C74" s="60"/>
      <c r="D74" s="60"/>
      <c r="E74" s="60"/>
      <c r="F74" s="60"/>
      <c r="G74" s="62"/>
    </row>
    <row r="75" spans="1:7" x14ac:dyDescent="0.25">
      <c r="A75" s="50"/>
      <c r="B75" s="52"/>
      <c r="C75" s="60"/>
      <c r="D75" s="60"/>
      <c r="E75" s="60"/>
      <c r="F75" s="60"/>
      <c r="G75" s="62"/>
    </row>
    <row r="76" spans="1:7" x14ac:dyDescent="0.25">
      <c r="A76" s="50"/>
      <c r="B76" s="52"/>
      <c r="C76" s="60"/>
      <c r="D76" s="60"/>
      <c r="E76" s="60"/>
      <c r="F76" s="60"/>
      <c r="G76" s="62"/>
    </row>
    <row r="77" spans="1:7" x14ac:dyDescent="0.25">
      <c r="A77" s="50"/>
      <c r="B77" s="52"/>
      <c r="C77" s="60"/>
      <c r="D77" s="60"/>
      <c r="E77" s="60"/>
      <c r="F77" s="60"/>
      <c r="G77" s="62"/>
    </row>
    <row r="78" spans="1:7" x14ac:dyDescent="0.25">
      <c r="A78" s="50"/>
      <c r="B78" s="52"/>
      <c r="C78" s="60"/>
      <c r="D78" s="60"/>
      <c r="E78" s="60"/>
      <c r="F78" s="60"/>
      <c r="G78" s="62"/>
    </row>
    <row r="79" spans="1:7" x14ac:dyDescent="0.25">
      <c r="A79" s="50"/>
      <c r="B79" s="52"/>
      <c r="C79" s="60"/>
      <c r="D79" s="60"/>
      <c r="E79" s="60"/>
      <c r="F79" s="60"/>
      <c r="G79" s="62"/>
    </row>
    <row r="80" spans="1:7" x14ac:dyDescent="0.25">
      <c r="A80" s="50"/>
      <c r="B80" s="52"/>
      <c r="C80" s="60"/>
      <c r="D80" s="60"/>
      <c r="E80" s="60"/>
      <c r="F80" s="60"/>
      <c r="G80" s="62"/>
    </row>
    <row r="81" spans="1:7" x14ac:dyDescent="0.25">
      <c r="A81" s="50"/>
      <c r="B81" s="52"/>
      <c r="C81" s="60"/>
      <c r="D81" s="60"/>
      <c r="E81" s="60"/>
      <c r="F81" s="60"/>
      <c r="G81" s="62"/>
    </row>
    <row r="82" spans="1:7" x14ac:dyDescent="0.25">
      <c r="A82" s="50"/>
      <c r="B82" s="52"/>
      <c r="C82" s="60"/>
      <c r="D82" s="60"/>
      <c r="E82" s="60"/>
      <c r="F82" s="60"/>
      <c r="G82" s="62"/>
    </row>
    <row r="83" spans="1:7" x14ac:dyDescent="0.25">
      <c r="A83" s="50"/>
      <c r="B83" s="52"/>
      <c r="C83" s="60"/>
      <c r="D83" s="60"/>
      <c r="E83" s="60"/>
      <c r="F83" s="60"/>
      <c r="G83" s="62"/>
    </row>
    <row r="84" spans="1:7" x14ac:dyDescent="0.25">
      <c r="A84" s="50"/>
      <c r="B84" s="52"/>
      <c r="C84" s="60"/>
      <c r="D84" s="60"/>
      <c r="E84" s="60"/>
      <c r="F84" s="60"/>
      <c r="G84" s="62"/>
    </row>
    <row r="85" spans="1:7" x14ac:dyDescent="0.25">
      <c r="A85" s="50"/>
      <c r="B85" s="52"/>
      <c r="C85" s="60"/>
      <c r="D85" s="60"/>
      <c r="E85" s="60"/>
      <c r="F85" s="60"/>
      <c r="G85" s="62"/>
    </row>
    <row r="86" spans="1:7" x14ac:dyDescent="0.25">
      <c r="A86" s="50"/>
      <c r="B86" s="52"/>
      <c r="C86" s="60"/>
      <c r="D86" s="60"/>
      <c r="E86" s="60"/>
      <c r="F86" s="60"/>
      <c r="G86" s="62"/>
    </row>
    <row r="87" spans="1:7" x14ac:dyDescent="0.25">
      <c r="A87" s="50"/>
      <c r="B87" s="52"/>
      <c r="C87" s="60"/>
      <c r="D87" s="60"/>
      <c r="E87" s="60"/>
      <c r="F87" s="60"/>
      <c r="G87" s="62"/>
    </row>
    <row r="88" spans="1:7" x14ac:dyDescent="0.25">
      <c r="A88" s="50"/>
      <c r="B88" s="52"/>
      <c r="C88" s="60"/>
      <c r="D88" s="60"/>
      <c r="E88" s="60"/>
      <c r="F88" s="60"/>
      <c r="G88" s="62"/>
    </row>
    <row r="89" spans="1:7" x14ac:dyDescent="0.25">
      <c r="A89" s="50"/>
      <c r="B89" s="52"/>
      <c r="C89" s="60"/>
      <c r="D89" s="60"/>
      <c r="E89" s="60"/>
      <c r="F89" s="60"/>
      <c r="G89" s="62"/>
    </row>
    <row r="90" spans="1:7" x14ac:dyDescent="0.25">
      <c r="A90" s="50"/>
      <c r="B90" s="52"/>
      <c r="C90" s="60"/>
      <c r="D90" s="60"/>
      <c r="E90" s="60"/>
      <c r="F90" s="60"/>
      <c r="G90" s="62"/>
    </row>
    <row r="91" spans="1:7" x14ac:dyDescent="0.25">
      <c r="A91" s="50"/>
      <c r="B91" s="52"/>
      <c r="C91" s="60"/>
      <c r="D91" s="60"/>
      <c r="E91" s="60"/>
      <c r="F91" s="60"/>
      <c r="G91" s="62"/>
    </row>
    <row r="92" spans="1:7" x14ac:dyDescent="0.25">
      <c r="A92" s="50"/>
      <c r="B92" s="52"/>
      <c r="C92" s="60"/>
      <c r="D92" s="60"/>
      <c r="E92" s="60"/>
      <c r="F92" s="60"/>
      <c r="G92" s="62"/>
    </row>
    <row r="93" spans="1:7" x14ac:dyDescent="0.25">
      <c r="A93" s="50"/>
      <c r="B93" s="52"/>
      <c r="C93" s="60"/>
      <c r="D93" s="60"/>
      <c r="E93" s="60"/>
      <c r="F93" s="60"/>
      <c r="G93" s="62"/>
    </row>
    <row r="94" spans="1:7" x14ac:dyDescent="0.25">
      <c r="A94" s="50"/>
      <c r="B94" s="52"/>
      <c r="C94" s="60"/>
      <c r="D94" s="60"/>
      <c r="E94" s="60"/>
      <c r="F94" s="60"/>
      <c r="G94" s="62"/>
    </row>
    <row r="95" spans="1:7" x14ac:dyDescent="0.25">
      <c r="A95" s="50"/>
      <c r="B95" s="52"/>
      <c r="C95" s="60"/>
      <c r="D95" s="60"/>
      <c r="E95" s="60"/>
      <c r="F95" s="60"/>
      <c r="G95" s="62"/>
    </row>
    <row r="96" spans="1:7" x14ac:dyDescent="0.25">
      <c r="A96" s="50"/>
      <c r="B96" s="52"/>
      <c r="C96" s="60"/>
      <c r="D96" s="60"/>
      <c r="E96" s="60"/>
      <c r="F96" s="60"/>
      <c r="G96" s="62"/>
    </row>
    <row r="97" spans="1:7" x14ac:dyDescent="0.25">
      <c r="A97" s="50"/>
      <c r="B97" s="52"/>
      <c r="C97" s="60"/>
      <c r="D97" s="60"/>
      <c r="E97" s="60"/>
      <c r="F97" s="60"/>
      <c r="G97" s="62"/>
    </row>
    <row r="98" spans="1:7" x14ac:dyDescent="0.25">
      <c r="A98" s="50"/>
      <c r="B98" s="52"/>
      <c r="C98" s="60"/>
      <c r="D98" s="60"/>
      <c r="E98" s="60"/>
      <c r="F98" s="60"/>
      <c r="G98" s="62"/>
    </row>
    <row r="99" spans="1:7" x14ac:dyDescent="0.25">
      <c r="A99" s="50"/>
      <c r="B99" s="52"/>
      <c r="C99" s="60"/>
      <c r="D99" s="60"/>
      <c r="E99" s="60"/>
      <c r="F99" s="60"/>
      <c r="G99" s="62"/>
    </row>
    <row r="100" spans="1:7" x14ac:dyDescent="0.25">
      <c r="A100" s="50"/>
      <c r="B100" s="52"/>
      <c r="C100" s="60"/>
      <c r="D100" s="60"/>
      <c r="E100" s="60"/>
      <c r="F100" s="60"/>
      <c r="G100" s="62"/>
    </row>
    <row r="101" spans="1:7" x14ac:dyDescent="0.25">
      <c r="A101" s="50"/>
      <c r="B101" s="52"/>
      <c r="C101" s="60"/>
      <c r="D101" s="60"/>
      <c r="E101" s="60"/>
      <c r="F101" s="60"/>
      <c r="G101" s="62"/>
    </row>
    <row r="102" spans="1:7" x14ac:dyDescent="0.25">
      <c r="A102" s="50"/>
      <c r="B102" s="52"/>
      <c r="C102" s="60"/>
      <c r="D102" s="60"/>
      <c r="E102" s="60"/>
      <c r="F102" s="60"/>
      <c r="G102" s="62"/>
    </row>
    <row r="103" spans="1:7" x14ac:dyDescent="0.25">
      <c r="A103" s="50"/>
      <c r="B103" s="52"/>
      <c r="C103" s="60"/>
      <c r="D103" s="60"/>
      <c r="E103" s="60"/>
      <c r="F103" s="60"/>
      <c r="G103" s="62"/>
    </row>
    <row r="104" spans="1:7" x14ac:dyDescent="0.25">
      <c r="A104" s="50"/>
      <c r="B104" s="52"/>
      <c r="C104" s="60"/>
      <c r="D104" s="60"/>
      <c r="E104" s="60"/>
      <c r="F104" s="60"/>
      <c r="G104" s="62"/>
    </row>
    <row r="105" spans="1:7" x14ac:dyDescent="0.25">
      <c r="A105" s="50"/>
      <c r="B105" s="52"/>
      <c r="C105" s="60"/>
      <c r="D105" s="60"/>
      <c r="E105" s="60"/>
      <c r="F105" s="60"/>
      <c r="G105" s="62"/>
    </row>
    <row r="106" spans="1:7" x14ac:dyDescent="0.25">
      <c r="A106" s="50"/>
      <c r="B106" s="52"/>
      <c r="C106" s="60"/>
      <c r="D106" s="60"/>
      <c r="E106" s="60"/>
      <c r="F106" s="60"/>
      <c r="G106" s="62"/>
    </row>
    <row r="107" spans="1:7" x14ac:dyDescent="0.25">
      <c r="A107" s="50"/>
      <c r="B107" s="52"/>
      <c r="C107" s="60"/>
      <c r="D107" s="60"/>
      <c r="E107" s="60"/>
      <c r="F107" s="60"/>
      <c r="G107" s="62"/>
    </row>
    <row r="108" spans="1:7" x14ac:dyDescent="0.25">
      <c r="A108" s="50"/>
      <c r="B108" s="52"/>
      <c r="C108" s="60"/>
      <c r="D108" s="60"/>
      <c r="E108" s="60"/>
      <c r="F108" s="60"/>
      <c r="G108" s="62"/>
    </row>
    <row r="109" spans="1:7" x14ac:dyDescent="0.25">
      <c r="A109" s="50"/>
      <c r="B109" s="52"/>
      <c r="C109" s="60"/>
      <c r="D109" s="60"/>
      <c r="E109" s="60"/>
      <c r="F109" s="60"/>
      <c r="G109" s="62"/>
    </row>
    <row r="110" spans="1:7" x14ac:dyDescent="0.25">
      <c r="A110" s="50"/>
      <c r="B110" s="52"/>
      <c r="C110" s="60"/>
      <c r="D110" s="60"/>
      <c r="E110" s="60"/>
      <c r="F110" s="60"/>
      <c r="G110" s="62"/>
    </row>
    <row r="111" spans="1:7" x14ac:dyDescent="0.25">
      <c r="A111" s="50"/>
      <c r="B111" s="52"/>
      <c r="C111" s="60"/>
      <c r="D111" s="60"/>
      <c r="E111" s="60"/>
      <c r="F111" s="60"/>
      <c r="G111" s="62"/>
    </row>
    <row r="112" spans="1:7" x14ac:dyDescent="0.25">
      <c r="A112" s="50"/>
      <c r="B112" s="52"/>
      <c r="C112" s="60"/>
      <c r="D112" s="60"/>
      <c r="E112" s="60"/>
      <c r="F112" s="60"/>
      <c r="G112" s="62"/>
    </row>
    <row r="113" spans="1:7" x14ac:dyDescent="0.25">
      <c r="A113" s="50"/>
      <c r="B113" s="52"/>
      <c r="C113" s="60"/>
      <c r="D113" s="60"/>
      <c r="E113" s="60"/>
      <c r="F113" s="60"/>
      <c r="G113" s="62"/>
    </row>
    <row r="114" spans="1:7" x14ac:dyDescent="0.25">
      <c r="A114" s="50"/>
      <c r="B114" s="52"/>
      <c r="C114" s="60"/>
      <c r="D114" s="60"/>
      <c r="E114" s="60"/>
      <c r="F114" s="60"/>
      <c r="G114" s="62"/>
    </row>
    <row r="115" spans="1:7" x14ac:dyDescent="0.25">
      <c r="A115" s="50"/>
      <c r="B115" s="52"/>
      <c r="C115" s="60"/>
      <c r="D115" s="60"/>
      <c r="E115" s="60"/>
      <c r="F115" s="60"/>
      <c r="G115" s="62"/>
    </row>
    <row r="116" spans="1:7" x14ac:dyDescent="0.25">
      <c r="A116" s="50"/>
      <c r="B116" s="52"/>
      <c r="C116" s="60"/>
      <c r="D116" s="60"/>
      <c r="E116" s="60"/>
      <c r="F116" s="60"/>
      <c r="G116" s="62"/>
    </row>
    <row r="117" spans="1:7" x14ac:dyDescent="0.25">
      <c r="A117" s="50"/>
      <c r="B117" s="52"/>
      <c r="C117" s="60"/>
      <c r="D117" s="60"/>
      <c r="E117" s="60"/>
      <c r="F117" s="60"/>
      <c r="G117" s="62"/>
    </row>
    <row r="118" spans="1:7" x14ac:dyDescent="0.25">
      <c r="A118" s="50"/>
      <c r="B118" s="52"/>
      <c r="C118" s="60"/>
      <c r="D118" s="60"/>
      <c r="E118" s="60"/>
      <c r="F118" s="60"/>
      <c r="G118" s="62"/>
    </row>
    <row r="119" spans="1:7" x14ac:dyDescent="0.25">
      <c r="A119" s="50"/>
      <c r="B119" s="52"/>
      <c r="C119" s="60"/>
      <c r="D119" s="60"/>
      <c r="E119" s="60"/>
      <c r="F119" s="60"/>
      <c r="G119" s="62"/>
    </row>
    <row r="120" spans="1:7" x14ac:dyDescent="0.25">
      <c r="A120" s="50"/>
      <c r="B120" s="52"/>
      <c r="C120" s="60"/>
      <c r="D120" s="60"/>
      <c r="E120" s="60"/>
      <c r="F120" s="60"/>
      <c r="G120" s="62"/>
    </row>
    <row r="121" spans="1:7" x14ac:dyDescent="0.25">
      <c r="A121" s="50"/>
      <c r="B121" s="52"/>
      <c r="C121" s="60"/>
      <c r="D121" s="60"/>
      <c r="E121" s="60"/>
      <c r="F121" s="60"/>
      <c r="G121" s="62"/>
    </row>
    <row r="122" spans="1:7" x14ac:dyDescent="0.25">
      <c r="A122" s="50"/>
      <c r="B122" s="52"/>
      <c r="C122" s="60"/>
      <c r="D122" s="60"/>
      <c r="E122" s="60"/>
      <c r="F122" s="60"/>
      <c r="G122" s="62"/>
    </row>
    <row r="123" spans="1:7" x14ac:dyDescent="0.25">
      <c r="A123" s="50"/>
      <c r="B123" s="52"/>
      <c r="C123" s="60"/>
      <c r="D123" s="60"/>
      <c r="E123" s="60"/>
      <c r="F123" s="60"/>
      <c r="G123" s="62"/>
    </row>
    <row r="124" spans="1:7" x14ac:dyDescent="0.25">
      <c r="A124" s="50"/>
      <c r="B124" s="52"/>
      <c r="C124" s="60"/>
      <c r="D124" s="60"/>
      <c r="E124" s="60"/>
      <c r="F124" s="60"/>
      <c r="G124" s="62"/>
    </row>
    <row r="125" spans="1:7" x14ac:dyDescent="0.25">
      <c r="A125" s="50"/>
      <c r="B125" s="52"/>
      <c r="C125" s="60"/>
      <c r="D125" s="60"/>
      <c r="E125" s="60"/>
      <c r="F125" s="60"/>
      <c r="G125" s="62"/>
    </row>
    <row r="126" spans="1:7" x14ac:dyDescent="0.25">
      <c r="A126" s="50"/>
      <c r="B126" s="52"/>
      <c r="C126" s="60"/>
      <c r="D126" s="60"/>
      <c r="E126" s="60"/>
      <c r="F126" s="60"/>
      <c r="G126" s="62"/>
    </row>
    <row r="127" spans="1:7" x14ac:dyDescent="0.25">
      <c r="A127" s="50"/>
      <c r="B127" s="52"/>
      <c r="C127" s="60"/>
      <c r="D127" s="60"/>
      <c r="E127" s="60"/>
      <c r="F127" s="60"/>
      <c r="G127" s="62"/>
    </row>
    <row r="128" spans="1:7" x14ac:dyDescent="0.25">
      <c r="A128" s="50"/>
      <c r="B128" s="52"/>
      <c r="C128" s="60"/>
      <c r="D128" s="60"/>
      <c r="E128" s="60"/>
      <c r="F128" s="60"/>
      <c r="G128" s="62"/>
    </row>
    <row r="129" spans="1:7" x14ac:dyDescent="0.25">
      <c r="A129" s="50"/>
      <c r="B129" s="52"/>
      <c r="C129" s="60"/>
      <c r="D129" s="60"/>
      <c r="E129" s="60"/>
      <c r="F129" s="60"/>
      <c r="G129" s="62"/>
    </row>
    <row r="130" spans="1:7" x14ac:dyDescent="0.25">
      <c r="A130" s="50"/>
      <c r="B130" s="52"/>
      <c r="C130" s="60"/>
      <c r="D130" s="60"/>
      <c r="E130" s="60"/>
      <c r="F130" s="60"/>
      <c r="G130" s="62"/>
    </row>
    <row r="131" spans="1:7" x14ac:dyDescent="0.25">
      <c r="A131" s="50"/>
      <c r="B131" s="52"/>
      <c r="C131" s="60"/>
      <c r="D131" s="60"/>
      <c r="E131" s="60"/>
      <c r="F131" s="60"/>
      <c r="G131" s="62"/>
    </row>
    <row r="132" spans="1:7" x14ac:dyDescent="0.25">
      <c r="A132" s="50"/>
      <c r="B132" s="52"/>
      <c r="C132" s="60"/>
      <c r="D132" s="60"/>
      <c r="E132" s="60"/>
      <c r="F132" s="60"/>
      <c r="G132" s="62"/>
    </row>
    <row r="133" spans="1:7" x14ac:dyDescent="0.25">
      <c r="A133" s="50"/>
      <c r="B133" s="52"/>
      <c r="C133" s="60"/>
      <c r="D133" s="60"/>
      <c r="E133" s="60"/>
      <c r="F133" s="60"/>
      <c r="G133" s="62"/>
    </row>
    <row r="134" spans="1:7" x14ac:dyDescent="0.25">
      <c r="A134" s="50"/>
      <c r="B134" s="52"/>
      <c r="C134" s="60"/>
      <c r="D134" s="60"/>
      <c r="E134" s="60"/>
      <c r="F134" s="60"/>
      <c r="G134" s="62"/>
    </row>
    <row r="135" spans="1:7" x14ac:dyDescent="0.25">
      <c r="A135" s="50"/>
      <c r="B135" s="52"/>
      <c r="C135" s="60"/>
      <c r="D135" s="60"/>
      <c r="E135" s="60"/>
      <c r="F135" s="60"/>
      <c r="G135" s="62"/>
    </row>
    <row r="136" spans="1:7" x14ac:dyDescent="0.25">
      <c r="A136" s="50"/>
      <c r="B136" s="52"/>
      <c r="C136" s="60"/>
      <c r="D136" s="60"/>
      <c r="E136" s="60"/>
      <c r="F136" s="60"/>
      <c r="G136" s="62"/>
    </row>
    <row r="137" spans="1:7" x14ac:dyDescent="0.25">
      <c r="A137" s="50"/>
      <c r="B137" s="52"/>
      <c r="C137" s="60"/>
      <c r="D137" s="60"/>
      <c r="E137" s="60"/>
      <c r="F137" s="60"/>
      <c r="G137" s="62"/>
    </row>
    <row r="138" spans="1:7" x14ac:dyDescent="0.25">
      <c r="A138" s="50"/>
      <c r="B138" s="52"/>
      <c r="C138" s="60"/>
      <c r="D138" s="60"/>
      <c r="E138" s="60"/>
      <c r="F138" s="60"/>
      <c r="G138" s="62"/>
    </row>
    <row r="139" spans="1:7" x14ac:dyDescent="0.25">
      <c r="A139" s="50"/>
      <c r="B139" s="52"/>
      <c r="C139" s="60"/>
      <c r="D139" s="60"/>
      <c r="E139" s="60"/>
      <c r="F139" s="60"/>
      <c r="G139" s="62"/>
    </row>
    <row r="140" spans="1:7" x14ac:dyDescent="0.25">
      <c r="A140" s="50"/>
      <c r="B140" s="52"/>
      <c r="C140" s="60"/>
      <c r="D140" s="60"/>
      <c r="E140" s="60"/>
      <c r="F140" s="60"/>
      <c r="G140" s="62"/>
    </row>
    <row r="141" spans="1:7" x14ac:dyDescent="0.25">
      <c r="A141" s="50"/>
      <c r="B141" s="52"/>
      <c r="C141" s="60"/>
      <c r="D141" s="60"/>
      <c r="E141" s="60"/>
      <c r="F141" s="60"/>
      <c r="G141" s="62"/>
    </row>
    <row r="142" spans="1:7" x14ac:dyDescent="0.25">
      <c r="A142" s="50"/>
      <c r="B142" s="52"/>
      <c r="C142" s="60"/>
      <c r="D142" s="60"/>
      <c r="E142" s="60"/>
      <c r="F142" s="60"/>
      <c r="G142" s="62"/>
    </row>
    <row r="143" spans="1:7" x14ac:dyDescent="0.25">
      <c r="A143" s="50"/>
      <c r="B143" s="52"/>
      <c r="C143" s="60"/>
      <c r="D143" s="60"/>
      <c r="E143" s="60"/>
      <c r="F143" s="60"/>
      <c r="G143" s="62"/>
    </row>
    <row r="144" spans="1:7" x14ac:dyDescent="0.25">
      <c r="A144" s="50"/>
      <c r="B144" s="52"/>
      <c r="C144" s="60"/>
      <c r="D144" s="60"/>
      <c r="E144" s="60"/>
      <c r="F144" s="60"/>
      <c r="G144" s="62"/>
    </row>
    <row r="145" spans="1:7" x14ac:dyDescent="0.25">
      <c r="A145" s="50"/>
      <c r="B145" s="52"/>
      <c r="C145" s="60"/>
      <c r="D145" s="60"/>
      <c r="E145" s="60"/>
      <c r="F145" s="60"/>
      <c r="G145" s="62"/>
    </row>
    <row r="146" spans="1:7" x14ac:dyDescent="0.25">
      <c r="A146" s="50"/>
      <c r="B146" s="52"/>
      <c r="C146" s="60"/>
      <c r="D146" s="60"/>
      <c r="E146" s="60"/>
      <c r="F146" s="60"/>
      <c r="G146" s="62"/>
    </row>
    <row r="147" spans="1:7" x14ac:dyDescent="0.25">
      <c r="A147" s="50"/>
      <c r="B147" s="52"/>
      <c r="C147" s="60"/>
      <c r="D147" s="60"/>
      <c r="E147" s="60"/>
      <c r="F147" s="60"/>
      <c r="G147" s="62"/>
    </row>
    <row r="148" spans="1:7" x14ac:dyDescent="0.25">
      <c r="A148" s="50"/>
      <c r="B148" s="52"/>
      <c r="C148" s="60"/>
      <c r="D148" s="60"/>
      <c r="E148" s="60"/>
      <c r="F148" s="60"/>
      <c r="G148" s="62"/>
    </row>
    <row r="149" spans="1:7" x14ac:dyDescent="0.25">
      <c r="A149" s="50"/>
      <c r="B149" s="52"/>
      <c r="C149" s="60"/>
      <c r="D149" s="60"/>
      <c r="E149" s="60"/>
      <c r="F149" s="60"/>
      <c r="G149" s="62"/>
    </row>
    <row r="150" spans="1:7" x14ac:dyDescent="0.25">
      <c r="A150" s="50"/>
      <c r="B150" s="52"/>
      <c r="C150" s="60"/>
      <c r="D150" s="60"/>
      <c r="E150" s="60"/>
      <c r="F150" s="60"/>
      <c r="G150" s="62"/>
    </row>
    <row r="151" spans="1:7" x14ac:dyDescent="0.25">
      <c r="A151" s="50"/>
      <c r="B151" s="52"/>
      <c r="C151" s="60"/>
      <c r="D151" s="60"/>
      <c r="E151" s="60"/>
      <c r="F151" s="60"/>
      <c r="G151" s="62"/>
    </row>
    <row r="152" spans="1:7" x14ac:dyDescent="0.25">
      <c r="A152" s="50"/>
      <c r="B152" s="52"/>
      <c r="C152" s="60"/>
      <c r="D152" s="60"/>
      <c r="E152" s="60"/>
      <c r="F152" s="60"/>
      <c r="G152" s="62"/>
    </row>
    <row r="153" spans="1:7" x14ac:dyDescent="0.25">
      <c r="A153" s="50"/>
      <c r="B153" s="52"/>
      <c r="C153" s="60"/>
      <c r="D153" s="60"/>
      <c r="E153" s="60"/>
      <c r="F153" s="60"/>
      <c r="G153" s="62"/>
    </row>
    <row r="154" spans="1:7" x14ac:dyDescent="0.25">
      <c r="A154" s="50"/>
      <c r="B154" s="52"/>
      <c r="C154" s="60"/>
      <c r="D154" s="60"/>
      <c r="E154" s="60"/>
      <c r="F154" s="60"/>
      <c r="G154" s="62"/>
    </row>
    <row r="155" spans="1:7" x14ac:dyDescent="0.25">
      <c r="A155" s="50"/>
      <c r="B155" s="52"/>
      <c r="C155" s="60"/>
      <c r="D155" s="60"/>
      <c r="E155" s="60"/>
      <c r="F155" s="60"/>
      <c r="G155" s="62"/>
    </row>
    <row r="156" spans="1:7" x14ac:dyDescent="0.25">
      <c r="A156" s="50"/>
      <c r="B156" s="52"/>
      <c r="C156" s="60"/>
      <c r="D156" s="60"/>
      <c r="E156" s="60"/>
      <c r="F156" s="60"/>
      <c r="G156" s="62"/>
    </row>
    <row r="157" spans="1:7" x14ac:dyDescent="0.25">
      <c r="A157" s="50"/>
      <c r="B157" s="52"/>
      <c r="C157" s="60"/>
      <c r="D157" s="60"/>
      <c r="E157" s="60"/>
      <c r="F157" s="60"/>
      <c r="G157" s="62"/>
    </row>
    <row r="158" spans="1:7" x14ac:dyDescent="0.25">
      <c r="A158" s="50"/>
      <c r="B158" s="52"/>
      <c r="C158" s="60"/>
      <c r="D158" s="60"/>
      <c r="E158" s="60"/>
      <c r="F158" s="60"/>
      <c r="G158" s="62"/>
    </row>
    <row r="159" spans="1:7" x14ac:dyDescent="0.25">
      <c r="A159" s="50"/>
      <c r="B159" s="52"/>
      <c r="C159" s="60"/>
      <c r="D159" s="60"/>
      <c r="E159" s="60"/>
      <c r="F159" s="60"/>
      <c r="G159" s="62"/>
    </row>
    <row r="160" spans="1:7" x14ac:dyDescent="0.25">
      <c r="A160" s="50"/>
      <c r="B160" s="52"/>
      <c r="C160" s="60"/>
      <c r="D160" s="60"/>
      <c r="E160" s="60"/>
      <c r="F160" s="60"/>
      <c r="G160" s="62"/>
    </row>
    <row r="161" spans="1:7" x14ac:dyDescent="0.25">
      <c r="A161" s="50"/>
      <c r="B161" s="52"/>
      <c r="C161" s="60"/>
      <c r="D161" s="60"/>
      <c r="E161" s="60"/>
      <c r="F161" s="60"/>
      <c r="G161" s="62"/>
    </row>
    <row r="162" spans="1:7" x14ac:dyDescent="0.25">
      <c r="A162" s="50"/>
      <c r="B162" s="52"/>
      <c r="C162" s="60"/>
      <c r="D162" s="60"/>
      <c r="E162" s="60"/>
      <c r="F162" s="60"/>
      <c r="G162" s="62"/>
    </row>
    <row r="163" spans="1:7" x14ac:dyDescent="0.25">
      <c r="A163" s="50"/>
      <c r="B163" s="52"/>
      <c r="C163" s="60"/>
      <c r="D163" s="60"/>
      <c r="E163" s="60"/>
      <c r="F163" s="60"/>
      <c r="G163" s="62"/>
    </row>
    <row r="164" spans="1:7" x14ac:dyDescent="0.25">
      <c r="A164" s="50"/>
      <c r="B164" s="52"/>
      <c r="C164" s="60"/>
      <c r="D164" s="60"/>
      <c r="E164" s="60"/>
      <c r="F164" s="60"/>
      <c r="G164" s="62"/>
    </row>
    <row r="165" spans="1:7" x14ac:dyDescent="0.25">
      <c r="A165" s="50"/>
      <c r="B165" s="52"/>
      <c r="C165" s="60"/>
      <c r="D165" s="60"/>
      <c r="E165" s="60"/>
      <c r="F165" s="60"/>
      <c r="G165" s="62"/>
    </row>
    <row r="166" spans="1:7" x14ac:dyDescent="0.25">
      <c r="A166" s="50"/>
      <c r="B166" s="52"/>
      <c r="C166" s="60"/>
      <c r="D166" s="60"/>
      <c r="E166" s="60"/>
      <c r="F166" s="60"/>
      <c r="G166" s="62"/>
    </row>
    <row r="167" spans="1:7" x14ac:dyDescent="0.25">
      <c r="A167" s="50"/>
      <c r="B167" s="52"/>
      <c r="C167" s="60"/>
      <c r="D167" s="60"/>
      <c r="E167" s="60"/>
      <c r="F167" s="60"/>
      <c r="G167" s="62"/>
    </row>
    <row r="168" spans="1:7" x14ac:dyDescent="0.25">
      <c r="A168" s="50"/>
      <c r="B168" s="52"/>
      <c r="C168" s="60"/>
      <c r="D168" s="60"/>
      <c r="E168" s="60"/>
      <c r="F168" s="60"/>
      <c r="G168" s="62"/>
    </row>
    <row r="169" spans="1:7" x14ac:dyDescent="0.25">
      <c r="A169" s="50"/>
      <c r="B169" s="52"/>
      <c r="C169" s="60"/>
      <c r="D169" s="60"/>
      <c r="E169" s="60"/>
      <c r="F169" s="60"/>
      <c r="G169" s="62"/>
    </row>
    <row r="170" spans="1:7" x14ac:dyDescent="0.25">
      <c r="A170" s="50"/>
      <c r="B170" s="52"/>
      <c r="C170" s="60"/>
      <c r="D170" s="60"/>
      <c r="E170" s="60"/>
      <c r="F170" s="60"/>
      <c r="G170" s="62"/>
    </row>
    <row r="171" spans="1:7" x14ac:dyDescent="0.25">
      <c r="A171" s="50"/>
      <c r="B171" s="52"/>
      <c r="C171" s="60"/>
      <c r="D171" s="60"/>
      <c r="E171" s="60"/>
      <c r="F171" s="60"/>
      <c r="G171" s="62"/>
    </row>
    <row r="172" spans="1:7" x14ac:dyDescent="0.25">
      <c r="A172" s="50"/>
      <c r="B172" s="52"/>
      <c r="C172" s="60"/>
      <c r="D172" s="60"/>
      <c r="E172" s="60"/>
      <c r="F172" s="60"/>
      <c r="G172" s="62"/>
    </row>
    <row r="173" spans="1:7" x14ac:dyDescent="0.25">
      <c r="A173" s="50"/>
      <c r="B173" s="52"/>
      <c r="C173" s="60"/>
      <c r="D173" s="60"/>
      <c r="E173" s="60"/>
      <c r="F173" s="60"/>
      <c r="G173" s="62"/>
    </row>
    <row r="174" spans="1:7" x14ac:dyDescent="0.25">
      <c r="A174" s="50"/>
      <c r="B174" s="52"/>
      <c r="C174" s="60"/>
      <c r="D174" s="60"/>
      <c r="E174" s="60"/>
      <c r="F174" s="60"/>
      <c r="G174" s="62"/>
    </row>
    <row r="175" spans="1:7" x14ac:dyDescent="0.25">
      <c r="A175" s="50"/>
      <c r="B175" s="52"/>
      <c r="C175" s="60"/>
      <c r="D175" s="60"/>
      <c r="E175" s="60"/>
      <c r="F175" s="60"/>
      <c r="G175" s="62"/>
    </row>
    <row r="176" spans="1:7" x14ac:dyDescent="0.25">
      <c r="A176" s="50"/>
      <c r="B176" s="52"/>
      <c r="C176" s="60"/>
      <c r="D176" s="60"/>
      <c r="E176" s="60"/>
      <c r="F176" s="60"/>
      <c r="G176" s="62"/>
    </row>
    <row r="177" spans="1:7" x14ac:dyDescent="0.25">
      <c r="A177" s="50"/>
      <c r="B177" s="52"/>
      <c r="C177" s="60"/>
      <c r="D177" s="60"/>
      <c r="E177" s="60"/>
      <c r="F177" s="60"/>
      <c r="G177" s="62"/>
    </row>
    <row r="178" spans="1:7" x14ac:dyDescent="0.25">
      <c r="A178" s="50"/>
      <c r="B178" s="52"/>
      <c r="C178" s="60"/>
      <c r="D178" s="60"/>
      <c r="E178" s="60"/>
      <c r="F178" s="60"/>
      <c r="G178" s="62"/>
    </row>
    <row r="179" spans="1:7" x14ac:dyDescent="0.25">
      <c r="A179" s="50"/>
      <c r="B179" s="52"/>
      <c r="C179" s="60"/>
      <c r="D179" s="60"/>
      <c r="E179" s="60"/>
      <c r="F179" s="60"/>
      <c r="G179" s="62"/>
    </row>
    <row r="180" spans="1:7" x14ac:dyDescent="0.25">
      <c r="A180" s="50"/>
      <c r="B180" s="52"/>
      <c r="C180" s="60"/>
      <c r="D180" s="60"/>
      <c r="E180" s="60"/>
      <c r="F180" s="60"/>
      <c r="G180" s="62"/>
    </row>
    <row r="181" spans="1:7" x14ac:dyDescent="0.25">
      <c r="A181" s="50"/>
      <c r="B181" s="52"/>
      <c r="C181" s="60"/>
      <c r="D181" s="60"/>
      <c r="E181" s="60"/>
      <c r="F181" s="60"/>
      <c r="G181" s="62"/>
    </row>
    <row r="182" spans="1:7" x14ac:dyDescent="0.25">
      <c r="A182" s="50"/>
      <c r="B182" s="52"/>
      <c r="C182" s="60"/>
      <c r="D182" s="60"/>
      <c r="E182" s="60"/>
      <c r="F182" s="60"/>
      <c r="G182" s="62"/>
    </row>
    <row r="183" spans="1:7" x14ac:dyDescent="0.25">
      <c r="A183" s="50"/>
      <c r="B183" s="52"/>
      <c r="C183" s="60"/>
      <c r="D183" s="60"/>
      <c r="E183" s="60"/>
      <c r="F183" s="60"/>
      <c r="G183" s="62"/>
    </row>
    <row r="184" spans="1:7" x14ac:dyDescent="0.25">
      <c r="A184" s="50"/>
      <c r="B184" s="52"/>
      <c r="C184" s="60"/>
      <c r="D184" s="60"/>
      <c r="E184" s="60"/>
      <c r="F184" s="60"/>
      <c r="G184" s="62"/>
    </row>
    <row r="185" spans="1:7" x14ac:dyDescent="0.25">
      <c r="A185" s="50"/>
      <c r="B185" s="52"/>
      <c r="C185" s="60"/>
      <c r="D185" s="60"/>
      <c r="E185" s="60"/>
      <c r="F185" s="60"/>
      <c r="G185" s="62"/>
    </row>
    <row r="186" spans="1:7" x14ac:dyDescent="0.25">
      <c r="A186" s="50"/>
      <c r="B186" s="52"/>
      <c r="C186" s="60"/>
      <c r="D186" s="60"/>
      <c r="E186" s="60"/>
      <c r="F186" s="60"/>
      <c r="G186" s="62"/>
    </row>
    <row r="187" spans="1:7" x14ac:dyDescent="0.25">
      <c r="A187" s="50"/>
      <c r="B187" s="52"/>
      <c r="C187" s="60"/>
      <c r="D187" s="60"/>
      <c r="E187" s="60"/>
      <c r="F187" s="60"/>
      <c r="G187" s="62"/>
    </row>
    <row r="188" spans="1:7" x14ac:dyDescent="0.25">
      <c r="A188" s="50"/>
      <c r="B188" s="52"/>
      <c r="C188" s="60"/>
      <c r="D188" s="60"/>
      <c r="E188" s="60"/>
      <c r="F188" s="60"/>
      <c r="G188" s="62"/>
    </row>
    <row r="189" spans="1:7" x14ac:dyDescent="0.25">
      <c r="A189" s="50"/>
      <c r="B189" s="52"/>
      <c r="C189" s="60"/>
      <c r="D189" s="60"/>
      <c r="E189" s="60"/>
      <c r="F189" s="60"/>
      <c r="G189" s="62"/>
    </row>
    <row r="190" spans="1:7" x14ac:dyDescent="0.25">
      <c r="A190" s="50"/>
      <c r="B190" s="52"/>
      <c r="C190" s="60"/>
      <c r="D190" s="60"/>
      <c r="E190" s="60"/>
      <c r="F190" s="60"/>
      <c r="G190" s="62"/>
    </row>
    <row r="191" spans="1:7" x14ac:dyDescent="0.25">
      <c r="A191" s="50"/>
      <c r="B191" s="52"/>
      <c r="C191" s="60"/>
      <c r="D191" s="60"/>
      <c r="E191" s="60"/>
      <c r="F191" s="60"/>
      <c r="G191" s="62"/>
    </row>
    <row r="192" spans="1:7" x14ac:dyDescent="0.25">
      <c r="A192" s="50"/>
      <c r="B192" s="52"/>
      <c r="C192" s="60"/>
      <c r="D192" s="60"/>
      <c r="E192" s="60"/>
      <c r="F192" s="60"/>
      <c r="G192" s="62"/>
    </row>
    <row r="193" spans="1:7" x14ac:dyDescent="0.25">
      <c r="A193" s="50"/>
      <c r="B193" s="52"/>
      <c r="C193" s="60"/>
      <c r="D193" s="60"/>
      <c r="E193" s="60"/>
      <c r="F193" s="60"/>
      <c r="G193" s="62"/>
    </row>
    <row r="194" spans="1:7" x14ac:dyDescent="0.25">
      <c r="A194" s="50"/>
      <c r="B194" s="52"/>
      <c r="C194" s="60"/>
      <c r="D194" s="60"/>
      <c r="E194" s="60"/>
      <c r="F194" s="60"/>
      <c r="G194" s="62"/>
    </row>
    <row r="195" spans="1:7" x14ac:dyDescent="0.25">
      <c r="A195" s="50"/>
      <c r="B195" s="52"/>
      <c r="C195" s="60"/>
      <c r="D195" s="60"/>
      <c r="E195" s="60"/>
      <c r="F195" s="60"/>
      <c r="G195" s="62"/>
    </row>
    <row r="196" spans="1:7" x14ac:dyDescent="0.25">
      <c r="A196" s="50"/>
      <c r="B196" s="52"/>
      <c r="C196" s="60"/>
      <c r="D196" s="60"/>
      <c r="E196" s="60"/>
      <c r="F196" s="60"/>
      <c r="G196" s="62"/>
    </row>
    <row r="197" spans="1:7" x14ac:dyDescent="0.25">
      <c r="A197" s="50"/>
      <c r="B197" s="52"/>
      <c r="C197" s="60"/>
      <c r="D197" s="60"/>
      <c r="E197" s="60"/>
      <c r="F197" s="60"/>
      <c r="G197" s="62"/>
    </row>
    <row r="198" spans="1:7" x14ac:dyDescent="0.25">
      <c r="A198" s="50"/>
      <c r="B198" s="52"/>
      <c r="C198" s="60"/>
      <c r="D198" s="60"/>
      <c r="E198" s="60"/>
      <c r="F198" s="60"/>
      <c r="G198" s="62"/>
    </row>
    <row r="199" spans="1:7" x14ac:dyDescent="0.25">
      <c r="A199" s="50"/>
      <c r="B199" s="52"/>
      <c r="C199" s="60"/>
      <c r="D199" s="60"/>
      <c r="E199" s="60"/>
      <c r="F199" s="60"/>
      <c r="G199" s="62"/>
    </row>
    <row r="200" spans="1:7" x14ac:dyDescent="0.25">
      <c r="A200" s="50"/>
      <c r="B200" s="52"/>
      <c r="C200" s="60"/>
      <c r="D200" s="60"/>
      <c r="E200" s="60"/>
      <c r="F200" s="60"/>
      <c r="G200" s="62"/>
    </row>
  </sheetData>
  <dataValidations count="1">
    <dataValidation type="list" allowBlank="1" showInputMessage="1" sqref="A2:A200">
      <formula1>Рецепты</formula1>
    </dataValidation>
  </dataValidations>
  <pageMargins left="0.7" right="0.7" top="0.75" bottom="0.75" header="0.3" footer="0.3"/>
  <pageSetup paperSize="9" scale="86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76" style="2" bestFit="1" customWidth="1"/>
    <col min="2" max="2" width="100" style="9" customWidth="1"/>
    <col min="3" max="16384" width="9.140625" style="2"/>
  </cols>
  <sheetData>
    <row r="1" spans="1:2" s="1" customFormat="1" x14ac:dyDescent="0.25">
      <c r="A1" s="1" t="s">
        <v>6</v>
      </c>
      <c r="B1" s="26" t="s">
        <v>13</v>
      </c>
    </row>
    <row r="2" spans="1:2" x14ac:dyDescent="0.25">
      <c r="A2" s="2" t="s">
        <v>9</v>
      </c>
      <c r="B2" s="16"/>
    </row>
    <row r="3" spans="1:2" x14ac:dyDescent="0.25">
      <c r="A3" s="27"/>
      <c r="B3" s="16"/>
    </row>
  </sheetData>
  <dataValidations count="1">
    <dataValidation type="list" allowBlank="1" showInputMessage="1" showErrorMessage="1" sqref="A2:A3">
      <formula1>Продукт</formula1>
    </dataValidation>
  </dataValidations>
  <pageMargins left="0.7" right="0.7" top="0.75" bottom="0.75" header="0.3" footer="0.3"/>
  <pageSetup paperSize="9" scale="97" fitToHeight="0" orientation="landscape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35.7109375" style="2" customWidth="1"/>
    <col min="2" max="2" width="10.140625" style="1" customWidth="1"/>
    <col min="3" max="3" width="13.5703125" style="1" bestFit="1" customWidth="1"/>
    <col min="4" max="4" width="13.5703125" style="1" customWidth="1"/>
    <col min="5" max="6" width="9.140625" style="1"/>
    <col min="7" max="7" width="12.7109375" style="1" customWidth="1"/>
    <col min="8" max="8" width="13" style="1" customWidth="1"/>
    <col min="9" max="9" width="20.7109375" style="1" customWidth="1"/>
    <col min="10" max="10" width="16" style="1" customWidth="1"/>
    <col min="11" max="16384" width="9.140625" style="2"/>
  </cols>
  <sheetData>
    <row r="1" spans="1:10" s="1" customFormat="1" x14ac:dyDescent="0.25">
      <c r="A1" s="1" t="s">
        <v>6</v>
      </c>
      <c r="B1" s="1" t="s">
        <v>11</v>
      </c>
      <c r="C1" s="1" t="s">
        <v>10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7</v>
      </c>
      <c r="J1" s="1" t="s">
        <v>4</v>
      </c>
    </row>
    <row r="2" spans="1:10" x14ac:dyDescent="0.25">
      <c r="D2" s="1" t="e">
        <f>INDEX(Продукты!$H:$H, MATCH(Рассчет[[#This Row],[Продукт]], Продукты!$A:$A, 0))</f>
        <v>#N/A</v>
      </c>
      <c r="E2" s="1" t="e">
        <f>INDEX(Продукты!$B:$B, MATCH(Рассчет[[#This Row],[Продукт]], Продукты!$A:$A, 0)) * (Рассчет[[#This Row],[Вес, гр]]/100)*Рассчет[Количество]</f>
        <v>#N/A</v>
      </c>
      <c r="F2" s="1" t="e">
        <f>INDEX(Продукты!$C:$C, MATCH(Рассчет[[#This Row],[Продукт]], Продукты!$A:$A, 0)) * (Рассчет[[#This Row],[Вес, гр]]/100)*Рассчет[Количество]</f>
        <v>#N/A</v>
      </c>
      <c r="G2" s="1" t="e">
        <f>INDEX(Продукты!$D:$D, MATCH(Рассчет[[#This Row],[Продукт]], Продукты!$A:$A, 0)) * (Рассчет[[#This Row],[Вес, гр]]/100)*Рассчет[Количество]</f>
        <v>#N/A</v>
      </c>
      <c r="H2" s="1" t="e">
        <f>INDEX(Продукты!$E:$E, MATCH(Рассчет[[#This Row],[Продукт]], Продукты!$A:$A, 0)) * (Рассчет[[#This Row],[Вес, гр]]/100)*Рассчет[Количество]</f>
        <v>#N/A</v>
      </c>
      <c r="I2" s="1" t="e">
        <f>INDEX(Продукты!$F:$F, MATCH(Рассчет[[#This Row],[Продукт]], Продукты!$A:$A, 0)) * (Рассчет[[#This Row],[Вес, гр]]/100)*Рассчет[Количество]</f>
        <v>#N/A</v>
      </c>
      <c r="J2" s="1" t="e">
        <f>INDEX(Продукты!$G:$G, MATCH(Рассчет[[#This Row],[Продукт]], Продукты!$A:$A, 0)) * (Рассчет[[#This Row],[Вес, гр]]/100)*Рассчет[Количество]</f>
        <v>#N/A</v>
      </c>
    </row>
  </sheetData>
  <dataValidations count="1">
    <dataValidation type="list" allowBlank="1" showInputMessage="1" showErrorMessage="1" sqref="A2">
      <formula1>Продукт</formula1>
    </dataValidation>
  </dataValidations>
  <pageMargins left="0.7" right="0.7" top="0.75" bottom="0.75" header="0.3" footer="0.3"/>
  <pageSetup paperSize="9" scale="86" fitToHeight="0" orientation="landscape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zoomScale="70" zoomScaleNormal="70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1" max="1" width="37.140625" style="2" bestFit="1" customWidth="1"/>
    <col min="2" max="2" width="100" style="9" customWidth="1"/>
    <col min="3" max="3" width="12.140625" style="14" bestFit="1" customWidth="1"/>
    <col min="4" max="4" width="9.140625" style="14"/>
    <col min="5" max="5" width="16.140625" style="14" bestFit="1" customWidth="1"/>
    <col min="6" max="6" width="16.85546875" style="14" bestFit="1" customWidth="1"/>
    <col min="7" max="7" width="25.85546875" style="14" bestFit="1" customWidth="1"/>
    <col min="8" max="8" width="15.5703125" style="14" bestFit="1" customWidth="1"/>
    <col min="9" max="9" width="11.7109375" style="14" bestFit="1" customWidth="1"/>
    <col min="10" max="16384" width="9.140625" style="2"/>
  </cols>
  <sheetData>
    <row r="1" spans="1:9" s="1" customFormat="1" x14ac:dyDescent="0.25">
      <c r="A1" s="1" t="s">
        <v>22</v>
      </c>
      <c r="B1" s="15" t="s">
        <v>23</v>
      </c>
      <c r="C1" s="3" t="s">
        <v>0</v>
      </c>
      <c r="D1" s="3" t="s">
        <v>2</v>
      </c>
      <c r="E1" s="3" t="s">
        <v>3</v>
      </c>
      <c r="F1" s="3" t="s">
        <v>5</v>
      </c>
      <c r="G1" s="3" t="s">
        <v>7</v>
      </c>
      <c r="H1" s="3" t="s">
        <v>24</v>
      </c>
      <c r="I1" s="3" t="s">
        <v>8</v>
      </c>
    </row>
    <row r="2" spans="1:9" x14ac:dyDescent="0.25">
      <c r="A2" s="2" t="s">
        <v>9</v>
      </c>
      <c r="B2" s="16"/>
      <c r="C2" s="6"/>
      <c r="D2" s="6"/>
      <c r="E2" s="6"/>
      <c r="F2" s="6"/>
      <c r="G2" s="6"/>
      <c r="H2" s="3"/>
      <c r="I2" s="3"/>
    </row>
    <row r="3" spans="1:9" x14ac:dyDescent="0.25">
      <c r="A3" s="27"/>
      <c r="B3" s="16"/>
      <c r="C3" s="28"/>
      <c r="D3" s="28"/>
      <c r="E3" s="28"/>
      <c r="F3" s="28"/>
      <c r="G3" s="28"/>
      <c r="H3" s="29"/>
      <c r="I3" s="29"/>
    </row>
  </sheetData>
  <pageMargins left="0.7" right="0.7" top="0.75" bottom="0.75" header="0.3" footer="0.3"/>
  <pageSetup paperSize="9" scale="54" fitToHeight="0" orientation="landscape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3" sqref="B3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MATCH(ПН[[#This Row],[Продукт]], Продукты!$A:$A, 0))</f>
        <v>#N/A</v>
      </c>
      <c r="G2" s="1" t="e">
        <f>INDEX(Продукты!$B:$B, MATCH(ПН[[#This Row],[Продукт]], Продукты!$A:$A, 0)) * (ПН[[#This Row],[Вес]]/100)*ПН[Количество]</f>
        <v>#N/A</v>
      </c>
      <c r="H2" s="1" t="e">
        <f>INDEX(Продукты!$C:$C, MATCH(ПН[[#This Row],[Продукт]], Продукты!$A:$A, 0)) * (ПН[[#This Row],[Вес]]/100)*ПН[Количество]</f>
        <v>#N/A</v>
      </c>
      <c r="I2" s="1" t="e">
        <f>INDEX(Продукты!$D:$D, MATCH(ПН[[#This Row],[Продукт]], Продукты!$A:$A, 0)) * (ПН[[#This Row],[Вес]]/100)*ПН[Количество]</f>
        <v>#N/A</v>
      </c>
      <c r="J2" s="1" t="e">
        <f>INDEX(Продукты!$E:$E, MATCH(ПН[[#This Row],[Продукт]], Продукты!$A:$A, 0)) * (ПН[[#This Row],[Вес]]/100)*ПН[Количество]</f>
        <v>#N/A</v>
      </c>
      <c r="K2" s="1" t="e">
        <f>INDEX(Продукты!$F:$F, MATCH(ПН[[#This Row],[Продукт]], Продукты!$A:$A, 0)) * (ПН[[#This Row],[Вес]]/100)*ПН[Количество]</f>
        <v>#N/A</v>
      </c>
      <c r="L2" s="1" t="e">
        <f>INDEX(Продукты!$G:$G, MATCH(ПН[[#This Row],[Продукт]], Продукты!$A:$A, 0)) * (ПН[[#This Row],[Вес]]/100)*ПН[Количество]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3" sqref="C3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MATCH(ВТ[[#This Row],[Продукт]], Продукты!$A:$A, 0))</f>
        <v>#N/A</v>
      </c>
      <c r="G2" s="1" t="e">
        <f>INDEX(Продукты!$B:$B, MATCH(ВТ[[#This Row],[Продукт]], Продукты!$A:$A, 0)) * (ВТ[[#This Row],[Вес]]/100)*ВТ[Количество]</f>
        <v>#N/A</v>
      </c>
      <c r="H2" s="1" t="e">
        <f>INDEX(Продукты!$C:$C, MATCH(ВТ[[#This Row],[Продукт]], Продукты!$A:$A, 0)) * (ВТ[[#This Row],[Вес]]/100)*ВТ[Количество]</f>
        <v>#N/A</v>
      </c>
      <c r="I2" s="1" t="e">
        <f>INDEX(Продукты!$D:$D, MATCH(ВТ[[#This Row],[Продукт]], Продукты!$A:$A, 0)) * (ВТ[[#This Row],[Вес]]/100)*ВТ[Количество]</f>
        <v>#N/A</v>
      </c>
      <c r="J2" s="1" t="e">
        <f>INDEX(Продукты!$E:$E, MATCH(ВТ[[#This Row],[Продукт]], Продукты!$A:$A, 0)) * (ВТ[[#This Row],[Вес]]/100)*ВТ[Количество]</f>
        <v>#N/A</v>
      </c>
      <c r="K2" s="1" t="e">
        <f>INDEX(Продукты!$F:$F, MATCH(ВТ[[#This Row],[Продукт]], Продукты!$A:$A, 0)) * (ВТ[[#This Row],[Вес]]/100)*ВТ[Количество]</f>
        <v>#N/A</v>
      </c>
      <c r="L2" s="1" t="e">
        <f>INDEX(Продукты!$G:$G, MATCH(ВТ[[#This Row],[Продукт]], Продукты!$A:$A, 0)) * (ВТ[[#This Row],[Вес]]/100)*ВТ[Количество]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2" sqref="C2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MATCH(СР[[#This Row],[Продукт]], Продукты!$A:$A, 0))</f>
        <v>#N/A</v>
      </c>
      <c r="G2" s="1" t="e">
        <f>INDEX(Продукты!$B:$B, MATCH(СР[[#This Row],[Продукт]], Продукты!$A:$A, 0)) * (СР[[#This Row],[Вес]]/100)*СР[Количество]</f>
        <v>#N/A</v>
      </c>
      <c r="H2" s="1" t="e">
        <f>INDEX(Продукты!$C:$C, MATCH(СР[[#This Row],[Продукт]], Продукты!$A:$A, 0)) * (СР[[#This Row],[Вес]]/100)*СР[Количество]</f>
        <v>#N/A</v>
      </c>
      <c r="I2" s="1" t="e">
        <f>INDEX(Продукты!$D:$D, MATCH(СР[[#This Row],[Продукт]], Продукты!$A:$A, 0)) * (СР[[#This Row],[Вес]]/100)*СР[Количество]</f>
        <v>#N/A</v>
      </c>
      <c r="J2" s="1" t="e">
        <f>INDEX(Продукты!$E:$E, MATCH(СР[[#This Row],[Продукт]], Продукты!$A:$A, 0)) * (СР[[#This Row],[Вес]]/100)*СР[Количество]</f>
        <v>#N/A</v>
      </c>
      <c r="K2" s="1" t="e">
        <f>INDEX(Продукты!$F:$F, MATCH(СР[[#This Row],[Продукт]], Продукты!$A:$A, 0)) * (СР[[#This Row],[Вес]]/100)*СР[Количество]</f>
        <v>#N/A</v>
      </c>
      <c r="L2" s="1" t="e">
        <f>INDEX(Продукты!$G:$G, MATCH(СР[[#This Row],[Продукт]], Продукты!$A:$A, 0)) * (СР[[#This Row],[Вес]]/100)*СР[Количество]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2" sqref="C2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MATCH(ЧТ[[#This Row],[Продукт]], Продукты!$A:$A, 0))</f>
        <v>#N/A</v>
      </c>
      <c r="G2" s="1" t="e">
        <f>INDEX(Продукты!$B:$B, MATCH(ЧТ[[#This Row],[Продукт]], Продукты!$A:$A, 0)) * (ЧТ[[#This Row],[Вес]]/100)*ЧТ[Количество]</f>
        <v>#N/A</v>
      </c>
      <c r="H2" s="1" t="e">
        <f>INDEX(Продукты!$C:$C, MATCH(ЧТ[[#This Row],[Продукт]], Продукты!$A:$A, 0)) * (ЧТ[[#This Row],[Вес]]/100)*ЧТ[Количество]</f>
        <v>#N/A</v>
      </c>
      <c r="I2" s="1" t="e">
        <f>INDEX(Продукты!$D:$D, MATCH(ЧТ[[#This Row],[Продукт]], Продукты!$A:$A, 0)) * (ЧТ[[#This Row],[Вес]]/100)*ЧТ[Количество]</f>
        <v>#N/A</v>
      </c>
      <c r="J2" s="1" t="e">
        <f>INDEX(Продукты!$E:$E, MATCH(ЧТ[[#This Row],[Продукт]], Продукты!$A:$A, 0)) * (ЧТ[[#This Row],[Вес]]/100)*ЧТ[Количество]</f>
        <v>#N/A</v>
      </c>
      <c r="K2" s="1" t="e">
        <f>INDEX(Продукты!$F:$F, MATCH(ЧТ[[#This Row],[Продукт]], Продукты!$A:$A, 0)) * (ЧТ[[#This Row],[Вес]]/100)*ЧТ[Количество]</f>
        <v>#N/A</v>
      </c>
      <c r="L2" s="1" t="e">
        <f>INDEX(Продукты!$G:$G, MATCH(ЧТ[[#This Row],[Продукт]], Продукты!$A:$A, 0)) * (ЧТ[[#This Row],[Вес]]/100)*ЧТ[Количество]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2" sqref="C2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MATCH(ПТ[[#This Row],[Продукт]], Продукты!$A:$A, 0))</f>
        <v>#N/A</v>
      </c>
      <c r="G2" s="1" t="e">
        <f>INDEX(Продукты!$B:$B, MATCH(ПТ[[#This Row],[Продукт]], Продукты!$A:$A, 0)) * (ПТ[[#This Row],[Вес]]/100)*ПТ[Количество]</f>
        <v>#N/A</v>
      </c>
      <c r="H2" s="1" t="e">
        <f>INDEX(Продукты!$C:$C, MATCH(ПТ[[#This Row],[Продукт]], Продукты!$A:$A, 0)) * (ПТ[[#This Row],[Вес]]/100)*ПТ[Количество]</f>
        <v>#N/A</v>
      </c>
      <c r="I2" s="1" t="e">
        <f>INDEX(Продукты!$D:$D, MATCH(ПТ[[#This Row],[Продукт]], Продукты!$A:$A, 0)) * (ПТ[[#This Row],[Вес]]/100)*ПТ[Количество]</f>
        <v>#N/A</v>
      </c>
      <c r="J2" s="1" t="e">
        <f>INDEX(Продукты!$E:$E, MATCH(ПТ[[#This Row],[Продукт]], Продукты!$A:$A, 0)) * (ПТ[[#This Row],[Вес]]/100)*ПТ[Количество]</f>
        <v>#N/A</v>
      </c>
      <c r="K2" s="1" t="e">
        <f>INDEX(Продукты!$F:$F, MATCH(ПТ[[#This Row],[Продукт]], Продукты!$A:$A, 0)) * (ПТ[[#This Row],[Вес]]/100)*ПТ[Количество]</f>
        <v>#N/A</v>
      </c>
      <c r="L2" s="1" t="e">
        <f>INDEX(Продукты!$G:$G, MATCH(ПТ[[#This Row],[Продукт]], Продукты!$A:$A, 0)) * (ПТ[[#This Row],[Вес]]/100)*ПТ[Количество]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2" sqref="C2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MATCH(СБ[[#This Row],[Продукт]], Продукты!$A:$A, 0))</f>
        <v>#N/A</v>
      </c>
      <c r="G2" s="1" t="e">
        <f>INDEX(Продукты!$B:$B, MATCH(СБ[[#This Row],[Продукт]], Продукты!$A:$A, 0)) * (СБ[[#This Row],[Вес]]/100)*СБ[Количество]</f>
        <v>#N/A</v>
      </c>
      <c r="H2" s="1" t="e">
        <f>INDEX(Продукты!$C:$C, MATCH(СБ[[#This Row],[Продукт]], Продукты!$A:$A, 0)) * (СБ[[#This Row],[Вес]]/100)*СБ[Количество]</f>
        <v>#N/A</v>
      </c>
      <c r="I2" s="1" t="e">
        <f>INDEX(Продукты!$D:$D, MATCH(СБ[[#This Row],[Продукт]], Продукты!$A:$A, 0)) * (СБ[[#This Row],[Вес]]/100)*СБ[Количество]</f>
        <v>#N/A</v>
      </c>
      <c r="J2" s="1" t="e">
        <f>INDEX(Продукты!$E:$E, MATCH(СБ[[#This Row],[Продукт]], Продукты!$A:$A, 0)) * (СБ[[#This Row],[Вес]]/100)*СБ[Количество]</f>
        <v>#N/A</v>
      </c>
      <c r="K2" s="1" t="e">
        <f>INDEX(Продукты!$F:$F, MATCH(СБ[[#This Row],[Продукт]], Продукты!$A:$A, 0)) * (СБ[[#This Row],[Вес]]/100)*СБ[Количество]</f>
        <v>#N/A</v>
      </c>
      <c r="L2" s="1" t="e">
        <f>INDEX(Продукты!$G:$G, MATCH(СБ[[#This Row],[Продукт]], Продукты!$A:$A, 0)) * (СБ[[#This Row],[Вес]]/100)*СБ[Количество]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MATCH(ВС[[#This Row],[Продукт]], Продукты!$A:$A, 0))</f>
        <v>#N/A</v>
      </c>
      <c r="G2" s="1" t="e">
        <f>INDEX(Продукты!$B:$B, MATCH(ВС[[#This Row],[Продукт]], Продукты!$A:$A, 0)) * (ВС[[#This Row],[Вес]]/100)*ВС[Количество]</f>
        <v>#N/A</v>
      </c>
      <c r="H2" s="1" t="e">
        <f>INDEX(Продукты!$C:$C, MATCH(ВС[[#This Row],[Продукт]], Продукты!$A:$A, 0)) * (ВС[[#This Row],[Вес]]/100)*ВС[Количество]</f>
        <v>#N/A</v>
      </c>
      <c r="I2" s="1" t="e">
        <f>INDEX(Продукты!$D:$D, MATCH(ВС[[#This Row],[Продукт]], Продукты!$A:$A, 0)) * (ВС[[#This Row],[Вес]]/100)*ВС[Количество]</f>
        <v>#N/A</v>
      </c>
      <c r="J2" s="1" t="e">
        <f>INDEX(Продукты!$E:$E, MATCH(ВС[[#This Row],[Продукт]], Продукты!$A:$A, 0)) * (ВС[[#This Row],[Вес]]/100)*ВС[Количество]</f>
        <v>#N/A</v>
      </c>
      <c r="K2" s="1" t="e">
        <f>INDEX(Продукты!$F:$F, MATCH(ВС[[#This Row],[Продукт]], Продукты!$A:$A, 0)) * (ВС[[#This Row],[Вес]]/100)*ВС[Количество]</f>
        <v>#N/A</v>
      </c>
      <c r="L2" s="1" t="e">
        <f>INDEX(Продукты!$G:$G, MATCH(ВС[[#This Row],[Продукт]], Продукты!$A:$A, 0)) * (ВС[[#This Row],[Вес]]/100)*ВС[Количество]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Справочник</vt:lpstr>
      <vt:lpstr>Антропометрия</vt:lpstr>
      <vt:lpstr>КБЖУ</vt:lpstr>
      <vt:lpstr>Продукты</vt:lpstr>
      <vt:lpstr>Составы</vt:lpstr>
      <vt:lpstr>Рассчеты</vt:lpstr>
      <vt:lpstr>Рецепты</vt:lpstr>
      <vt:lpstr>ПН</vt:lpstr>
      <vt:lpstr>ВТ</vt:lpstr>
      <vt:lpstr>СР</vt:lpstr>
      <vt:lpstr>ЧТ</vt:lpstr>
      <vt:lpstr>ПТ</vt:lpstr>
      <vt:lpstr>СБ</vt:lpstr>
      <vt:lpstr>ВС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2026-04-17T07:28:12Z</dcterms:modified>
</cp:coreProperties>
</file>